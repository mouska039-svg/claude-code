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vier" sheetId="1" state="visible" r:id="rId1"/>
    <sheet name="Fevrier" sheetId="2" state="visible" r:id="rId2"/>
    <sheet name="Mars" sheetId="3" state="visible" r:id="rId3"/>
    <sheet name="Avril" sheetId="4" state="visible" r:id="rId4"/>
    <sheet name="Mai" sheetId="5" state="visible" r:id="rId5"/>
    <sheet name="Juin" sheetId="6" state="visible" r:id="rId6"/>
    <sheet name="Juillet" sheetId="7" state="visible" r:id="rId7"/>
    <sheet name="Aout" sheetId="8" state="visible" r:id="rId8"/>
    <sheet name="Septembre" sheetId="9" state="visible" r:id="rId9"/>
    <sheet name="Octobre" sheetId="10" state="visible" r:id="rId10"/>
    <sheet name="Novembre" sheetId="11" state="visible" r:id="rId11"/>
    <sheet name="Decembre" sheetId="12" state="visible" r:id="rId12"/>
    <sheet name="Dashboard" sheetId="13" state="visible" r:id="rId13"/>
    <sheet name="Transactions" sheetId="14" state="visible" r:id="rId14"/>
    <sheet name="Guide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color rgb="00FFFFFF"/>
      <sz val="10"/>
    </font>
    <font>
      <name val="Calibri"/>
      <color rgb="001A1A2E"/>
      <sz val="10"/>
    </font>
    <font>
      <name val="Courier New"/>
      <color rgb="005C7A6B"/>
      <sz val="9"/>
    </font>
    <font>
      <name val="Segoe UI Emoji"/>
      <color rgb="00FFFFFF"/>
      <sz val="12"/>
    </font>
    <font>
      <name val="Calibri"/>
      <b val="1"/>
      <color rgb="00E2B96F"/>
      <sz val="10"/>
    </font>
    <font>
      <name val="Calibri"/>
      <color rgb="00FFFFFF"/>
      <sz val="11"/>
    </font>
    <font>
      <name val="Calibri"/>
      <b val="1"/>
      <color rgb="00E2B96F"/>
      <sz val="11"/>
    </font>
    <font>
      <name val="Calibri"/>
      <color rgb="00E2B96F"/>
      <sz val="10"/>
    </font>
    <font>
      <name val="Calibri"/>
      <b val="1"/>
      <color rgb="001A1A2E"/>
      <sz val="11"/>
    </font>
    <font>
      <name val="Calibri"/>
      <b val="1"/>
      <color rgb="00FFFFFF"/>
      <sz val="20"/>
    </font>
    <font>
      <name val="Calibri"/>
      <color rgb="008B8A87"/>
      <sz val="10"/>
    </font>
    <font>
      <name val="Calibri"/>
      <b val="1"/>
      <color rgb="00E2B96F"/>
      <sz val="14"/>
    </font>
    <font>
      <name val="Calibri"/>
      <b val="1"/>
      <color rgb="00E2B96F"/>
      <sz val="13"/>
    </font>
    <font>
      <name val="Calibri"/>
      <b val="1"/>
      <color rgb="00D4876B"/>
      <sz val="13"/>
    </font>
    <font>
      <name val="Calibri"/>
      <b val="1"/>
      <color rgb="00FFFFFF"/>
      <sz val="16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16213E"/>
      </patternFill>
    </fill>
    <fill>
      <patternFill patternType="solid">
        <fgColor rgb="001A1A2E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2D2D4E"/>
      </left>
      <right style="thin">
        <color rgb="002D2D4E"/>
      </right>
      <top style="thin">
        <color rgb="002D2D4E"/>
      </top>
      <bottom style="thin">
        <color rgb="002D2D4E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164" fontId="5" fillId="5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right" vertical="center"/>
    </xf>
    <xf numFmtId="9" fontId="4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indent="1"/>
    </xf>
    <xf numFmtId="0" fontId="7" fillId="4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 indent="1"/>
    </xf>
    <xf numFmtId="164" fontId="8" fillId="3" borderId="1" applyAlignment="1" pivotButton="0" quotePrefix="0" xfId="0">
      <alignment horizontal="right" vertical="center"/>
    </xf>
    <xf numFmtId="9" fontId="8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indent="1"/>
    </xf>
    <xf numFmtId="0" fontId="0" fillId="4" borderId="0" pivotButton="0" quotePrefix="0" xfId="0"/>
    <xf numFmtId="0" fontId="9" fillId="3" borderId="1" applyAlignment="1" pivotButton="0" quotePrefix="0" xfId="0">
      <alignment horizontal="left" vertical="center" indent="1"/>
    </xf>
    <xf numFmtId="164" fontId="9" fillId="3" borderId="1" applyAlignment="1" pivotButton="0" quotePrefix="0" xfId="0">
      <alignment horizontal="right" vertical="center"/>
    </xf>
    <xf numFmtId="0" fontId="10" fillId="2" borderId="1" applyAlignment="1" pivotButton="0" quotePrefix="0" xfId="0">
      <alignment horizontal="left" vertical="center" indent="1"/>
    </xf>
    <xf numFmtId="0" fontId="11" fillId="2" borderId="1" applyAlignment="1" pivotButton="0" quotePrefix="0" xfId="0">
      <alignment horizontal="left" vertical="center" indent="1"/>
    </xf>
    <xf numFmtId="164" fontId="10" fillId="2" borderId="1" applyAlignment="1" pivotButton="0" quotePrefix="0" xfId="0">
      <alignment horizontal="right" vertical="center"/>
    </xf>
    <xf numFmtId="9" fontId="10" fillId="2" borderId="1" applyAlignment="1" pivotButton="0" quotePrefix="0" xfId="0">
      <alignment horizontal="right" vertical="center"/>
    </xf>
    <xf numFmtId="164" fontId="12" fillId="5" borderId="1" applyAlignment="1" pivotButton="0" quotePrefix="0" xfId="0">
      <alignment horizontal="right" vertical="center"/>
    </xf>
    <xf numFmtId="0" fontId="13" fillId="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164" fontId="15" fillId="2" borderId="0" applyAlignment="1" pivotButton="0" quotePrefix="0" xfId="0">
      <alignment horizontal="center" vertical="center"/>
    </xf>
    <xf numFmtId="9" fontId="15" fillId="2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right" vertical="center"/>
    </xf>
    <xf numFmtId="0" fontId="18" fillId="2" borderId="0" applyAlignment="1" pivotButton="0" quotePrefix="0" xfId="0">
      <alignment horizontal="center" vertical="center"/>
    </xf>
    <xf numFmtId="0" fontId="19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Revenus vs Dépenses par Mois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'Dashboard'!K5</f>
            </strRef>
          </tx>
          <spPr>
            <a:solidFill>
              <a:srgbClr val="5C7A6B"/>
            </a:solidFill>
            <a:ln>
              <a:prstDash val="solid"/>
            </a:ln>
          </spPr>
          <cat>
            <numRef>
              <f>'Dashboard'!$J$6:$J$17</f>
            </numRef>
          </cat>
          <val>
            <numRef>
              <f>'Dashboard'!$K$6:$K$17</f>
            </numRef>
          </val>
        </ser>
        <ser>
          <idx val="1"/>
          <order val="1"/>
          <tx>
            <strRef>
              <f>'Dashboard'!L5</f>
            </strRef>
          </tx>
          <spPr>
            <a:solidFill>
              <a:srgbClr val="D4876B"/>
            </a:solidFill>
            <a:ln>
              <a:prstDash val="solid"/>
            </a:ln>
          </spPr>
          <cat>
            <numRef>
              <f>'Dashboard'!$J$6:$J$17</f>
            </numRef>
          </cat>
          <val>
            <numRef>
              <f>'Dashboard'!$L$6:$L$17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Montant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F3460"/>
    <outlinePr summaryBelow="1" summaryRight="1"/>
    <pageSetUpPr/>
  </sheetPr>
  <dimension ref="A1:G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0" customWidth="1" min="5" max="5"/>
    <col width="22" customWidth="1" min="6" max="6"/>
    <col width="6" customWidth="1" min="7" max="7"/>
  </cols>
  <sheetData>
    <row r="1" ht="36" customHeight="1">
      <c r="A1" s="1" t="inlineStr">
        <is>
          <t>📅 JANVIER</t>
        </is>
      </c>
    </row>
    <row r="2" ht="22" customHeight="1">
      <c r="A2" s="2" t="inlineStr">
        <is>
          <t>💰 REVENUS</t>
        </is>
      </c>
    </row>
    <row r="3" ht="18" customHeight="1">
      <c r="A3" s="3" t="inlineStr">
        <is>
          <t>Catégorie</t>
        </is>
      </c>
      <c r="B3" s="3" t="inlineStr">
        <is>
          <t>Budget Prévu</t>
        </is>
      </c>
      <c r="C3" s="3" t="inlineStr">
        <is>
          <t>Réel</t>
        </is>
      </c>
      <c r="D3" s="3" t="inlineStr">
        <is>
          <t>Écart</t>
        </is>
      </c>
      <c r="E3" s="3" t="inlineStr">
        <is>
          <t>%</t>
        </is>
      </c>
      <c r="F3" s="3" t="inlineStr">
        <is>
          <t>Progression</t>
        </is>
      </c>
      <c r="G3" s="3" t="inlineStr">
        <is>
          <t>✓</t>
        </is>
      </c>
    </row>
    <row r="4" ht="18" customHeight="1">
      <c r="A4" s="4" t="inlineStr">
        <is>
          <t>Salaire</t>
        </is>
      </c>
      <c r="B4" s="5" t="n"/>
      <c r="C4" s="5" t="n"/>
      <c r="D4" s="6">
        <f>B4-C4</f>
        <v/>
      </c>
      <c r="E4" s="7">
        <f>IF(B4=0,"—",C4/B4)</f>
        <v/>
      </c>
      <c r="F4" s="8">
        <f>IF(B4=0,"",REPT("▓",MIN(20,INT(C4/B4*20)))&amp;REPT("░",MAX(0,20-MIN(20,INT(C4/B4*20)))))</f>
        <v/>
      </c>
      <c r="G4" s="9">
        <f>IF(C4="","⬜",IF(C4/B4&lt;0.8,"🟢",IF(C4/B4&lt;=1,"🟡","🔴")))</f>
        <v/>
      </c>
    </row>
    <row r="5" ht="18" customHeight="1">
      <c r="A5" s="4" t="inlineStr">
        <is>
          <t>Freelance</t>
        </is>
      </c>
      <c r="B5" s="5" t="n"/>
      <c r="C5" s="5" t="n"/>
      <c r="D5" s="6">
        <f>B5-C5</f>
        <v/>
      </c>
      <c r="E5" s="7">
        <f>IF(B5=0,"—",C5/B5)</f>
        <v/>
      </c>
      <c r="F5" s="8">
        <f>IF(B5=0,"",REPT("▓",MIN(20,INT(C5/B5*20)))&amp;REPT("░",MAX(0,20-MIN(20,INT(C5/B5*20)))))</f>
        <v/>
      </c>
      <c r="G5" s="9">
        <f>IF(C5="","⬜",IF(C5/B5&lt;0.8,"🟢",IF(C5/B5&lt;=1,"🟡","🔴")))</f>
        <v/>
      </c>
    </row>
    <row r="6" ht="18" customHeight="1">
      <c r="A6" s="4" t="inlineStr">
        <is>
          <t>Aides/APL</t>
        </is>
      </c>
      <c r="B6" s="5" t="n"/>
      <c r="C6" s="5" t="n"/>
      <c r="D6" s="6">
        <f>B6-C6</f>
        <v/>
      </c>
      <c r="E6" s="7">
        <f>IF(B6=0,"—",C6/B6)</f>
        <v/>
      </c>
      <c r="F6" s="8">
        <f>IF(B6=0,"",REPT("▓",MIN(20,INT(C6/B6*20)))&amp;REPT("░",MAX(0,20-MIN(20,INT(C6/B6*20)))))</f>
        <v/>
      </c>
      <c r="G6" s="9">
        <f>IF(C6="","⬜",IF(C6/B6&lt;0.8,"🟢",IF(C6/B6&lt;=1,"🟡","🔴")))</f>
        <v/>
      </c>
    </row>
    <row r="7" ht="18" customHeight="1">
      <c r="A7" s="4" t="inlineStr">
        <is>
          <t>Autres revenus</t>
        </is>
      </c>
      <c r="B7" s="5" t="n"/>
      <c r="C7" s="5" t="n"/>
      <c r="D7" s="6">
        <f>B7-C7</f>
        <v/>
      </c>
      <c r="E7" s="7">
        <f>IF(B7=0,"—",C7/B7)</f>
        <v/>
      </c>
      <c r="F7" s="8">
        <f>IF(B7=0,"",REPT("▓",MIN(20,INT(C7/B7*20)))&amp;REPT("░",MAX(0,20-MIN(20,INT(C7/B7*20)))))</f>
        <v/>
      </c>
      <c r="G7" s="9">
        <f>IF(C7="","⬜",IF(C7/B7&lt;0.8,"🟢",IF(C7/B7&lt;=1,"🟡","🔴")))</f>
        <v/>
      </c>
    </row>
    <row r="8" ht="20" customHeight="1">
      <c r="A8" s="10" t="inlineStr">
        <is>
          <t>TOTAL</t>
        </is>
      </c>
      <c r="B8" s="11">
        <f>SUM(B4:B7)</f>
        <v/>
      </c>
      <c r="C8" s="11">
        <f>SUM(C4:C7)</f>
        <v/>
      </c>
      <c r="D8" s="11">
        <f>B8-C8</f>
        <v/>
      </c>
      <c r="E8" s="12">
        <f>IF(B8=0,"—",C8/B8)</f>
        <v/>
      </c>
      <c r="F8" s="13" t="n"/>
      <c r="G8" s="13" t="n"/>
    </row>
    <row r="9" ht="8" customHeight="1">
      <c r="A9" s="14" t="n"/>
      <c r="B9" s="14" t="n"/>
      <c r="C9" s="14" t="n"/>
      <c r="D9" s="14" t="n"/>
      <c r="E9" s="14" t="n"/>
      <c r="F9" s="14" t="n"/>
      <c r="G9" s="14" t="n"/>
    </row>
    <row r="10" ht="22" customHeight="1">
      <c r="A10" s="2" t="inlineStr">
        <is>
          <t>🏠 DÉPENSES FIXES</t>
        </is>
      </c>
    </row>
    <row r="11" ht="18" customHeight="1">
      <c r="A11" s="3" t="inlineStr">
        <is>
          <t>Catégorie</t>
        </is>
      </c>
      <c r="B11" s="3" t="inlineStr">
        <is>
          <t>Budget Prévu</t>
        </is>
      </c>
      <c r="C11" s="3" t="inlineStr">
        <is>
          <t>Réel</t>
        </is>
      </c>
      <c r="D11" s="3" t="inlineStr">
        <is>
          <t>Écart</t>
        </is>
      </c>
      <c r="E11" s="3" t="inlineStr">
        <is>
          <t>%</t>
        </is>
      </c>
      <c r="F11" s="3" t="inlineStr">
        <is>
          <t>Progression</t>
        </is>
      </c>
      <c r="G11" s="3" t="inlineStr">
        <is>
          <t>✓</t>
        </is>
      </c>
    </row>
    <row r="12" ht="18" customHeight="1">
      <c r="A12" s="4" t="inlineStr">
        <is>
          <t>Loyer/Crédit</t>
        </is>
      </c>
      <c r="B12" s="5" t="n"/>
      <c r="C12" s="5" t="n"/>
      <c r="D12" s="6">
        <f>B12-C12</f>
        <v/>
      </c>
      <c r="E12" s="7">
        <f>IF(B12=0,"—",C12/B12)</f>
        <v/>
      </c>
      <c r="F12" s="8">
        <f>IF(B12=0,"",REPT("▓",MIN(20,INT(C12/B12*20)))&amp;REPT("░",MAX(0,20-MIN(20,INT(C12/B12*20)))))</f>
        <v/>
      </c>
      <c r="G12" s="9">
        <f>IF(C12="","⬜",IF(C12/B12&lt;0.8,"🟢",IF(C12/B12&lt;=1,"🟡","🔴")))</f>
        <v/>
      </c>
    </row>
    <row r="13" ht="18" customHeight="1">
      <c r="A13" s="4" t="inlineStr">
        <is>
          <t>Assurances</t>
        </is>
      </c>
      <c r="B13" s="5" t="n"/>
      <c r="C13" s="5" t="n"/>
      <c r="D13" s="6">
        <f>B13-C13</f>
        <v/>
      </c>
      <c r="E13" s="7">
        <f>IF(B13=0,"—",C13/B13)</f>
        <v/>
      </c>
      <c r="F13" s="8">
        <f>IF(B13=0,"",REPT("▓",MIN(20,INT(C13/B13*20)))&amp;REPT("░",MAX(0,20-MIN(20,INT(C13/B13*20)))))</f>
        <v/>
      </c>
      <c r="G13" s="9">
        <f>IF(C13="","⬜",IF(C13/B13&lt;0.8,"🟢",IF(C13/B13&lt;=1,"🟡","🔴")))</f>
        <v/>
      </c>
    </row>
    <row r="14" ht="18" customHeight="1">
      <c r="A14" s="4" t="inlineStr">
        <is>
          <t>Abonnements</t>
        </is>
      </c>
      <c r="B14" s="5" t="n"/>
      <c r="C14" s="5" t="n"/>
      <c r="D14" s="6">
        <f>B14-C14</f>
        <v/>
      </c>
      <c r="E14" s="7">
        <f>IF(B14=0,"—",C14/B14)</f>
        <v/>
      </c>
      <c r="F14" s="8">
        <f>IF(B14=0,"",REPT("▓",MIN(20,INT(C14/B14*20)))&amp;REPT("░",MAX(0,20-MIN(20,INT(C14/B14*20)))))</f>
        <v/>
      </c>
      <c r="G14" s="9">
        <f>IF(C14="","⬜",IF(C14/B14&lt;0.8,"🟢",IF(C14/B14&lt;=1,"🟡","🔴")))</f>
        <v/>
      </c>
    </row>
    <row r="15" ht="18" customHeight="1">
      <c r="A15" s="4" t="inlineStr">
        <is>
          <t>Téléphone/Internet</t>
        </is>
      </c>
      <c r="B15" s="5" t="n"/>
      <c r="C15" s="5" t="n"/>
      <c r="D15" s="6">
        <f>B15-C15</f>
        <v/>
      </c>
      <c r="E15" s="7">
        <f>IF(B15=0,"—",C15/B15)</f>
        <v/>
      </c>
      <c r="F15" s="8">
        <f>IF(B15=0,"",REPT("▓",MIN(20,INT(C15/B15*20)))&amp;REPT("░",MAX(0,20-MIN(20,INT(C15/B15*20)))))</f>
        <v/>
      </c>
      <c r="G15" s="9">
        <f>IF(C15="","⬜",IF(C15/B15&lt;0.8,"🟢",IF(C15/B15&lt;=1,"🟡","🔴")))</f>
        <v/>
      </c>
    </row>
    <row r="16" ht="20" customHeight="1">
      <c r="A16" s="10" t="inlineStr">
        <is>
          <t>TOTAL</t>
        </is>
      </c>
      <c r="B16" s="11">
        <f>SUM(B12:B15)</f>
        <v/>
      </c>
      <c r="C16" s="11">
        <f>SUM(C12:C15)</f>
        <v/>
      </c>
      <c r="D16" s="11">
        <f>B16-C16</f>
        <v/>
      </c>
      <c r="E16" s="12">
        <f>IF(B16=0,"—",C16/B16)</f>
        <v/>
      </c>
      <c r="F16" s="13" t="n"/>
      <c r="G16" s="13" t="n"/>
    </row>
    <row r="17" ht="8" customHeight="1">
      <c r="A17" s="14" t="n"/>
      <c r="B17" s="14" t="n"/>
      <c r="C17" s="14" t="n"/>
      <c r="D17" s="14" t="n"/>
      <c r="E17" s="14" t="n"/>
      <c r="F17" s="14" t="n"/>
      <c r="G17" s="14" t="n"/>
    </row>
    <row r="18" ht="22" customHeight="1">
      <c r="A18" s="2" t="inlineStr">
        <is>
          <t>🛒 DÉPENSES VARIABLES</t>
        </is>
      </c>
    </row>
    <row r="19" ht="18" customHeight="1">
      <c r="A19" s="3" t="inlineStr">
        <is>
          <t>Catégorie</t>
        </is>
      </c>
      <c r="B19" s="3" t="inlineStr">
        <is>
          <t>Budget Prévu</t>
        </is>
      </c>
      <c r="C19" s="3" t="inlineStr">
        <is>
          <t>Réel</t>
        </is>
      </c>
      <c r="D19" s="3" t="inlineStr">
        <is>
          <t>Écart</t>
        </is>
      </c>
      <c r="E19" s="3" t="inlineStr">
        <is>
          <t>%</t>
        </is>
      </c>
      <c r="F19" s="3" t="inlineStr">
        <is>
          <t>Progression</t>
        </is>
      </c>
      <c r="G19" s="3" t="inlineStr">
        <is>
          <t>✓</t>
        </is>
      </c>
    </row>
    <row r="20" ht="18" customHeight="1">
      <c r="A20" s="4" t="inlineStr">
        <is>
          <t>Alimentation</t>
        </is>
      </c>
      <c r="B20" s="5" t="n"/>
      <c r="C20" s="5" t="n"/>
      <c r="D20" s="6">
        <f>B20-C20</f>
        <v/>
      </c>
      <c r="E20" s="7">
        <f>IF(B20=0,"—",C20/B20)</f>
        <v/>
      </c>
      <c r="F20" s="8">
        <f>IF(B20=0,"",REPT("▓",MIN(20,INT(C20/B20*20)))&amp;REPT("░",MAX(0,20-MIN(20,INT(C20/B20*20)))))</f>
        <v/>
      </c>
      <c r="G20" s="9">
        <f>IF(C20="","⬜",IF(C20/B20&lt;0.8,"🟢",IF(C20/B20&lt;=1,"🟡","🔴")))</f>
        <v/>
      </c>
    </row>
    <row r="21" ht="18" customHeight="1">
      <c r="A21" s="4" t="inlineStr">
        <is>
          <t>Transport</t>
        </is>
      </c>
      <c r="B21" s="5" t="n"/>
      <c r="C21" s="5" t="n"/>
      <c r="D21" s="6">
        <f>B21-C21</f>
        <v/>
      </c>
      <c r="E21" s="7">
        <f>IF(B21=0,"—",C21/B21)</f>
        <v/>
      </c>
      <c r="F21" s="8">
        <f>IF(B21=0,"",REPT("▓",MIN(20,INT(C21/B21*20)))&amp;REPT("░",MAX(0,20-MIN(20,INT(C21/B21*20)))))</f>
        <v/>
      </c>
      <c r="G21" s="9">
        <f>IF(C21="","⬜",IF(C21/B21&lt;0.8,"🟢",IF(C21/B21&lt;=1,"🟡","🔴")))</f>
        <v/>
      </c>
    </row>
    <row r="22" ht="18" customHeight="1">
      <c r="A22" s="4" t="inlineStr">
        <is>
          <t>Santé</t>
        </is>
      </c>
      <c r="B22" s="5" t="n"/>
      <c r="C22" s="5" t="n"/>
      <c r="D22" s="6">
        <f>B22-C22</f>
        <v/>
      </c>
      <c r="E22" s="7">
        <f>IF(B22=0,"—",C22/B22)</f>
        <v/>
      </c>
      <c r="F22" s="8">
        <f>IF(B22=0,"",REPT("▓",MIN(20,INT(C22/B22*20)))&amp;REPT("░",MAX(0,20-MIN(20,INT(C22/B22*20)))))</f>
        <v/>
      </c>
      <c r="G22" s="9">
        <f>IF(C22="","⬜",IF(C22/B22&lt;0.8,"🟢",IF(C22/B22&lt;=1,"🟡","🔴")))</f>
        <v/>
      </c>
    </row>
    <row r="23" ht="18" customHeight="1">
      <c r="A23" s="4" t="inlineStr">
        <is>
          <t>Loisirs</t>
        </is>
      </c>
      <c r="B23" s="5" t="n"/>
      <c r="C23" s="5" t="n"/>
      <c r="D23" s="6">
        <f>B23-C23</f>
        <v/>
      </c>
      <c r="E23" s="7">
        <f>IF(B23=0,"—",C23/B23)</f>
        <v/>
      </c>
      <c r="F23" s="8">
        <f>IF(B23=0,"",REPT("▓",MIN(20,INT(C23/B23*20)))&amp;REPT("░",MAX(0,20-MIN(20,INT(C23/B23*20)))))</f>
        <v/>
      </c>
      <c r="G23" s="9">
        <f>IF(C23="","⬜",IF(C23/B23&lt;0.8,"🟢",IF(C23/B23&lt;=1,"🟡","🔴")))</f>
        <v/>
      </c>
    </row>
    <row r="24" ht="18" customHeight="1">
      <c r="A24" s="4" t="inlineStr">
        <is>
          <t>Shopping</t>
        </is>
      </c>
      <c r="B24" s="5" t="n"/>
      <c r="C24" s="5" t="n"/>
      <c r="D24" s="6">
        <f>B24-C24</f>
        <v/>
      </c>
      <c r="E24" s="7">
        <f>IF(B24=0,"—",C24/B24)</f>
        <v/>
      </c>
      <c r="F24" s="8">
        <f>IF(B24=0,"",REPT("▓",MIN(20,INT(C24/B24*20)))&amp;REPT("░",MAX(0,20-MIN(20,INT(C24/B24*20)))))</f>
        <v/>
      </c>
      <c r="G24" s="9">
        <f>IF(C24="","⬜",IF(C24/B24&lt;0.8,"🟢",IF(C24/B24&lt;=1,"🟡","🔴")))</f>
        <v/>
      </c>
    </row>
    <row r="25" ht="18" customHeight="1">
      <c r="A25" s="4" t="inlineStr">
        <is>
          <t>Restaurant</t>
        </is>
      </c>
      <c r="B25" s="5" t="n"/>
      <c r="C25" s="5" t="n"/>
      <c r="D25" s="6">
        <f>B25-C25</f>
        <v/>
      </c>
      <c r="E25" s="7">
        <f>IF(B25=0,"—",C25/B25)</f>
        <v/>
      </c>
      <c r="F25" s="8">
        <f>IF(B25=0,"",REPT("▓",MIN(20,INT(C25/B25*20)))&amp;REPT("░",MAX(0,20-MIN(20,INT(C25/B25*20)))))</f>
        <v/>
      </c>
      <c r="G25" s="9">
        <f>IF(C25="","⬜",IF(C25/B25&lt;0.8,"🟢",IF(C25/B25&lt;=1,"🟡","🔴")))</f>
        <v/>
      </c>
    </row>
    <row r="26" ht="18" customHeight="1">
      <c r="A26" s="4" t="inlineStr">
        <is>
          <t>Beauté</t>
        </is>
      </c>
      <c r="B26" s="5" t="n"/>
      <c r="C26" s="5" t="n"/>
      <c r="D26" s="6">
        <f>B26-C26</f>
        <v/>
      </c>
      <c r="E26" s="7">
        <f>IF(B26=0,"—",C26/B26)</f>
        <v/>
      </c>
      <c r="F26" s="8">
        <f>IF(B26=0,"",REPT("▓",MIN(20,INT(C26/B26*20)))&amp;REPT("░",MAX(0,20-MIN(20,INT(C26/B26*20)))))</f>
        <v/>
      </c>
      <c r="G26" s="9">
        <f>IF(C26="","⬜",IF(C26/B26&lt;0.8,"🟢",IF(C26/B26&lt;=1,"🟡","🔴")))</f>
        <v/>
      </c>
    </row>
    <row r="27" ht="18" customHeight="1">
      <c r="A27" s="4" t="inlineStr">
        <is>
          <t>Autre</t>
        </is>
      </c>
      <c r="B27" s="5" t="n"/>
      <c r="C27" s="5" t="n"/>
      <c r="D27" s="6">
        <f>B27-C27</f>
        <v/>
      </c>
      <c r="E27" s="7">
        <f>IF(B27=0,"—",C27/B27)</f>
        <v/>
      </c>
      <c r="F27" s="8">
        <f>IF(B27=0,"",REPT("▓",MIN(20,INT(C27/B27*20)))&amp;REPT("░",MAX(0,20-MIN(20,INT(C27/B27*20)))))</f>
        <v/>
      </c>
      <c r="G27" s="9">
        <f>IF(C27="","⬜",IF(C27/B27&lt;0.8,"🟢",IF(C27/B27&lt;=1,"🟡","🔴")))</f>
        <v/>
      </c>
    </row>
    <row r="28" ht="20" customHeight="1">
      <c r="A28" s="10" t="inlineStr">
        <is>
          <t>TOTAL</t>
        </is>
      </c>
      <c r="B28" s="11">
        <f>SUM(B20:B27)</f>
        <v/>
      </c>
      <c r="C28" s="11">
        <f>SUM(C20:C27)</f>
        <v/>
      </c>
      <c r="D28" s="11">
        <f>B28-C28</f>
        <v/>
      </c>
      <c r="E28" s="12">
        <f>IF(B28=0,"—",C28/B28)</f>
        <v/>
      </c>
      <c r="F28" s="13" t="n"/>
      <c r="G28" s="13" t="n"/>
    </row>
    <row r="29" ht="8" customHeight="1">
      <c r="A29" s="14" t="n"/>
      <c r="B29" s="14" t="n"/>
      <c r="C29" s="14" t="n"/>
      <c r="D29" s="14" t="n"/>
      <c r="E29" s="14" t="n"/>
      <c r="F29" s="14" t="n"/>
      <c r="G29" s="14" t="n"/>
    </row>
    <row r="30" ht="22" customHeight="1">
      <c r="A30" s="2" t="inlineStr">
        <is>
          <t>💳 CRÉDITS</t>
        </is>
      </c>
    </row>
    <row r="31" ht="18" customHeight="1">
      <c r="A31" s="3" t="inlineStr">
        <is>
          <t>Catégorie</t>
        </is>
      </c>
      <c r="B31" s="3" t="inlineStr">
        <is>
          <t>Budget Prévu</t>
        </is>
      </c>
      <c r="C31" s="3" t="inlineStr">
        <is>
          <t>Réel</t>
        </is>
      </c>
      <c r="D31" s="3" t="inlineStr">
        <is>
          <t>Écart</t>
        </is>
      </c>
      <c r="E31" s="3" t="inlineStr">
        <is>
          <t>%</t>
        </is>
      </c>
      <c r="F31" s="3" t="inlineStr">
        <is>
          <t>Progression</t>
        </is>
      </c>
      <c r="G31" s="3" t="inlineStr">
        <is>
          <t>✓</t>
        </is>
      </c>
    </row>
    <row r="32" ht="18" customHeight="1">
      <c r="A32" s="4" t="inlineStr">
        <is>
          <t>Crédit auto</t>
        </is>
      </c>
      <c r="B32" s="5" t="n"/>
      <c r="C32" s="5" t="n"/>
      <c r="D32" s="6">
        <f>B32-C32</f>
        <v/>
      </c>
      <c r="E32" s="7">
        <f>IF(B32=0,"—",C32/B32)</f>
        <v/>
      </c>
      <c r="F32" s="8">
        <f>IF(B32=0,"",REPT("▓",MIN(20,INT(C32/B32*20)))&amp;REPT("░",MAX(0,20-MIN(20,INT(C32/B32*20)))))</f>
        <v/>
      </c>
      <c r="G32" s="9">
        <f>IF(C32="","⬜",IF(C32/B32&lt;0.8,"🟢",IF(C32/B32&lt;=1,"🟡","🔴")))</f>
        <v/>
      </c>
    </row>
    <row r="33" ht="18" customHeight="1">
      <c r="A33" s="4" t="inlineStr">
        <is>
          <t>Crédit conso</t>
        </is>
      </c>
      <c r="B33" s="5" t="n"/>
      <c r="C33" s="5" t="n"/>
      <c r="D33" s="6">
        <f>B33-C33</f>
        <v/>
      </c>
      <c r="E33" s="7">
        <f>IF(B33=0,"—",C33/B33)</f>
        <v/>
      </c>
      <c r="F33" s="8">
        <f>IF(B33=0,"",REPT("▓",MIN(20,INT(C33/B33*20)))&amp;REPT("░",MAX(0,20-MIN(20,INT(C33/B33*20)))))</f>
        <v/>
      </c>
      <c r="G33" s="9">
        <f>IF(C33="","⬜",IF(C33/B33&lt;0.8,"🟢",IF(C33/B33&lt;=1,"🟡","🔴")))</f>
        <v/>
      </c>
    </row>
    <row r="34" ht="18" customHeight="1">
      <c r="A34" s="4" t="inlineStr">
        <is>
          <t>Autre crédit</t>
        </is>
      </c>
      <c r="B34" s="5" t="n"/>
      <c r="C34" s="5" t="n"/>
      <c r="D34" s="6">
        <f>B34-C34</f>
        <v/>
      </c>
      <c r="E34" s="7">
        <f>IF(B34=0,"—",C34/B34)</f>
        <v/>
      </c>
      <c r="F34" s="8">
        <f>IF(B34=0,"",REPT("▓",MIN(20,INT(C34/B34*20)))&amp;REPT("░",MAX(0,20-MIN(20,INT(C34/B34*20)))))</f>
        <v/>
      </c>
      <c r="G34" s="9">
        <f>IF(C34="","⬜",IF(C34/B34&lt;0.8,"🟢",IF(C34/B34&lt;=1,"🟡","🔴")))</f>
        <v/>
      </c>
    </row>
    <row r="35" ht="20" customHeight="1">
      <c r="A35" s="10" t="inlineStr">
        <is>
          <t>TOTAL</t>
        </is>
      </c>
      <c r="B35" s="11">
        <f>SUM(B32:B34)</f>
        <v/>
      </c>
      <c r="C35" s="11">
        <f>SUM(C32:C34)</f>
        <v/>
      </c>
      <c r="D35" s="11">
        <f>B35-C35</f>
        <v/>
      </c>
      <c r="E35" s="12">
        <f>IF(B35=0,"—",C35/B35)</f>
        <v/>
      </c>
      <c r="F35" s="13" t="n"/>
      <c r="G35" s="13" t="n"/>
    </row>
    <row r="36" ht="8" customHeight="1">
      <c r="A36" s="14" t="n"/>
      <c r="B36" s="14" t="n"/>
      <c r="C36" s="14" t="n"/>
      <c r="D36" s="14" t="n"/>
      <c r="E36" s="14" t="n"/>
      <c r="F36" s="14" t="n"/>
      <c r="G36" s="14" t="n"/>
    </row>
    <row r="37" ht="22" customHeight="1">
      <c r="A37" s="2" t="inlineStr">
        <is>
          <t>🏦 ÉPARGNE</t>
        </is>
      </c>
    </row>
    <row r="38" ht="18" customHeight="1">
      <c r="A38" s="3" t="inlineStr">
        <is>
          <t>Catégorie</t>
        </is>
      </c>
      <c r="B38" s="3" t="inlineStr">
        <is>
          <t>Budget Prévu</t>
        </is>
      </c>
      <c r="C38" s="3" t="inlineStr">
        <is>
          <t>Réel</t>
        </is>
      </c>
      <c r="D38" s="3" t="inlineStr">
        <is>
          <t>Écart</t>
        </is>
      </c>
      <c r="E38" s="3" t="inlineStr">
        <is>
          <t>%</t>
        </is>
      </c>
      <c r="F38" s="3" t="inlineStr">
        <is>
          <t>Progression</t>
        </is>
      </c>
      <c r="G38" s="3" t="inlineStr">
        <is>
          <t>✓</t>
        </is>
      </c>
    </row>
    <row r="39" ht="18" customHeight="1">
      <c r="A39" s="4" t="inlineStr">
        <is>
          <t>Livret A</t>
        </is>
      </c>
      <c r="B39" s="5" t="n"/>
      <c r="C39" s="5" t="n"/>
      <c r="D39" s="6">
        <f>B39-C39</f>
        <v/>
      </c>
      <c r="E39" s="7">
        <f>IF(B39=0,"—",C39/B39)</f>
        <v/>
      </c>
      <c r="F39" s="8">
        <f>IF(B39=0,"",REPT("▓",MIN(20,INT(C39/B39*20)))&amp;REPT("░",MAX(0,20-MIN(20,INT(C39/B39*20)))))</f>
        <v/>
      </c>
      <c r="G39" s="9">
        <f>IF(C39="","⬜",IF(C39/B39&lt;0.8,"🟢",IF(C39/B39&lt;=1,"🟡","🔴")))</f>
        <v/>
      </c>
    </row>
    <row r="40" ht="18" customHeight="1">
      <c r="A40" s="4" t="inlineStr">
        <is>
          <t>PEL</t>
        </is>
      </c>
      <c r="B40" s="5" t="n"/>
      <c r="C40" s="5" t="n"/>
      <c r="D40" s="6">
        <f>B40-C40</f>
        <v/>
      </c>
      <c r="E40" s="7">
        <f>IF(B40=0,"—",C40/B40)</f>
        <v/>
      </c>
      <c r="F40" s="8">
        <f>IF(B40=0,"",REPT("▓",MIN(20,INT(C40/B40*20)))&amp;REPT("░",MAX(0,20-MIN(20,INT(C40/B40*20)))))</f>
        <v/>
      </c>
      <c r="G40" s="9">
        <f>IF(C40="","⬜",IF(C40/B40&lt;0.8,"🟢",IF(C40/B40&lt;=1,"🟡","🔴")))</f>
        <v/>
      </c>
    </row>
    <row r="41" ht="18" customHeight="1">
      <c r="A41" s="4" t="inlineStr">
        <is>
          <t>Assurance-vie</t>
        </is>
      </c>
      <c r="B41" s="5" t="n"/>
      <c r="C41" s="5" t="n"/>
      <c r="D41" s="6">
        <f>B41-C41</f>
        <v/>
      </c>
      <c r="E41" s="7">
        <f>IF(B41=0,"—",C41/B41)</f>
        <v/>
      </c>
      <c r="F41" s="8">
        <f>IF(B41=0,"",REPT("▓",MIN(20,INT(C41/B41*20)))&amp;REPT("░",MAX(0,20-MIN(20,INT(C41/B41*20)))))</f>
        <v/>
      </c>
      <c r="G41" s="9">
        <f>IF(C41="","⬜",IF(C41/B41&lt;0.8,"🟢",IF(C41/B41&lt;=1,"🟡","🔴")))</f>
        <v/>
      </c>
    </row>
    <row r="42" ht="18" customHeight="1">
      <c r="A42" s="4" t="inlineStr">
        <is>
          <t>Investissements</t>
        </is>
      </c>
      <c r="B42" s="5" t="n"/>
      <c r="C42" s="5" t="n"/>
      <c r="D42" s="6">
        <f>B42-C42</f>
        <v/>
      </c>
      <c r="E42" s="7">
        <f>IF(B42=0,"—",C42/B42)</f>
        <v/>
      </c>
      <c r="F42" s="8">
        <f>IF(B42=0,"",REPT("▓",MIN(20,INT(C42/B42*20)))&amp;REPT("░",MAX(0,20-MIN(20,INT(C42/B42*20)))))</f>
        <v/>
      </c>
      <c r="G42" s="9">
        <f>IF(C42="","⬜",IF(C42/B42&lt;0.8,"🟢",IF(C42/B42&lt;=1,"🟡","🔴")))</f>
        <v/>
      </c>
    </row>
    <row r="43" ht="20" customHeight="1">
      <c r="A43" s="10" t="inlineStr">
        <is>
          <t>TOTAL</t>
        </is>
      </c>
      <c r="B43" s="11">
        <f>SUM(B39:B42)</f>
        <v/>
      </c>
      <c r="C43" s="11">
        <f>SUM(C39:C42)</f>
        <v/>
      </c>
      <c r="D43" s="11">
        <f>B43-C43</f>
        <v/>
      </c>
      <c r="E43" s="12">
        <f>IF(B43=0,"—",C43/B43)</f>
        <v/>
      </c>
      <c r="F43" s="13" t="n"/>
      <c r="G43" s="13" t="n"/>
    </row>
    <row r="44" ht="8" customHeight="1">
      <c r="A44" s="14" t="n"/>
      <c r="B44" s="14" t="n"/>
      <c r="C44" s="14" t="n"/>
      <c r="D44" s="14" t="n"/>
      <c r="E44" s="14" t="n"/>
      <c r="F44" s="14" t="n"/>
      <c r="G44" s="14" t="n"/>
    </row>
    <row r="46" ht="22" customHeight="1">
      <c r="A46" s="15" t="inlineStr">
        <is>
          <t>Total Revenus</t>
        </is>
      </c>
      <c r="B46" s="13" t="n"/>
      <c r="C46" s="16">
        <f>C8</f>
        <v/>
      </c>
      <c r="D46" s="13" t="n"/>
      <c r="E46" s="13" t="n"/>
      <c r="F46" s="13" t="n"/>
      <c r="G46" s="13" t="n"/>
    </row>
    <row r="47" ht="22" customHeight="1">
      <c r="A47" s="15" t="inlineStr">
        <is>
          <t>Total Dépenses</t>
        </is>
      </c>
      <c r="B47" s="13" t="n"/>
      <c r="C47" s="16">
        <f>C16+C28+C35</f>
        <v/>
      </c>
      <c r="D47" s="13" t="n"/>
      <c r="E47" s="13" t="n"/>
      <c r="F47" s="13" t="n"/>
      <c r="G47" s="13" t="n"/>
    </row>
    <row r="48" ht="22" customHeight="1">
      <c r="A48" s="17" t="inlineStr">
        <is>
          <t>Solde du mois</t>
        </is>
      </c>
      <c r="B48" s="18" t="n"/>
      <c r="C48" s="19">
        <f>C46-C47</f>
        <v/>
      </c>
      <c r="D48" s="18" t="n"/>
      <c r="E48" s="18" t="n"/>
      <c r="F48" s="18" t="n"/>
      <c r="G48" s="18" t="n"/>
    </row>
    <row r="49" ht="22" customHeight="1">
      <c r="A49" s="17" t="inlineStr">
        <is>
          <t>Taux d'épargne</t>
        </is>
      </c>
      <c r="B49" s="18" t="n"/>
      <c r="C49" s="20">
        <f>IF(C46=0,"—",C48/C46)</f>
        <v/>
      </c>
      <c r="D49" s="18" t="n"/>
      <c r="E49" s="18" t="n"/>
      <c r="F49" s="18" t="n"/>
      <c r="G49" s="18" t="n"/>
    </row>
    <row r="50" ht="22" customHeight="1">
      <c r="A50" s="15" t="inlineStr">
        <is>
          <t>Objectif Épargne</t>
        </is>
      </c>
      <c r="B50" s="13" t="n"/>
      <c r="C50" s="21" t="n"/>
      <c r="D50" s="13" t="n"/>
      <c r="E50" s="13" t="n"/>
      <c r="F50" s="13" t="n"/>
      <c r="G50" s="13" t="n"/>
    </row>
  </sheetData>
  <mergeCells count="6">
    <mergeCell ref="A1:G1"/>
    <mergeCell ref="A18:G18"/>
    <mergeCell ref="A30:G30"/>
    <mergeCell ref="A2:G2"/>
    <mergeCell ref="A10:G10"/>
    <mergeCell ref="A37:G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3460"/>
    <outlinePr summaryBelow="1" summaryRight="1"/>
    <pageSetUpPr/>
  </sheetPr>
  <dimension ref="A1:G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0" customWidth="1" min="5" max="5"/>
    <col width="22" customWidth="1" min="6" max="6"/>
    <col width="6" customWidth="1" min="7" max="7"/>
  </cols>
  <sheetData>
    <row r="1" ht="36" customHeight="1">
      <c r="A1" s="1" t="inlineStr">
        <is>
          <t>📅 FÉVRIER</t>
        </is>
      </c>
    </row>
    <row r="2" ht="22" customHeight="1">
      <c r="A2" s="2" t="inlineStr">
        <is>
          <t>💰 REVENUS</t>
        </is>
      </c>
    </row>
    <row r="3" ht="18" customHeight="1">
      <c r="A3" s="3" t="inlineStr">
        <is>
          <t>Catégorie</t>
        </is>
      </c>
      <c r="B3" s="3" t="inlineStr">
        <is>
          <t>Budget Prévu</t>
        </is>
      </c>
      <c r="C3" s="3" t="inlineStr">
        <is>
          <t>Réel</t>
        </is>
      </c>
      <c r="D3" s="3" t="inlineStr">
        <is>
          <t>Écart</t>
        </is>
      </c>
      <c r="E3" s="3" t="inlineStr">
        <is>
          <t>%</t>
        </is>
      </c>
      <c r="F3" s="3" t="inlineStr">
        <is>
          <t>Progression</t>
        </is>
      </c>
      <c r="G3" s="3" t="inlineStr">
        <is>
          <t>✓</t>
        </is>
      </c>
    </row>
    <row r="4" ht="18" customHeight="1">
      <c r="A4" s="4" t="inlineStr">
        <is>
          <t>Salaire</t>
        </is>
      </c>
      <c r="B4" s="5" t="n"/>
      <c r="C4" s="5" t="n"/>
      <c r="D4" s="6">
        <f>B4-C4</f>
        <v/>
      </c>
      <c r="E4" s="7">
        <f>IF(B4=0,"—",C4/B4)</f>
        <v/>
      </c>
      <c r="F4" s="8">
        <f>IF(B4=0,"",REPT("▓",MIN(20,INT(C4/B4*20)))&amp;REPT("░",MAX(0,20-MIN(20,INT(C4/B4*20)))))</f>
        <v/>
      </c>
      <c r="G4" s="9">
        <f>IF(C4="","⬜",IF(C4/B4&lt;0.8,"🟢",IF(C4/B4&lt;=1,"🟡","🔴")))</f>
        <v/>
      </c>
    </row>
    <row r="5" ht="18" customHeight="1">
      <c r="A5" s="4" t="inlineStr">
        <is>
          <t>Freelance</t>
        </is>
      </c>
      <c r="B5" s="5" t="n"/>
      <c r="C5" s="5" t="n"/>
      <c r="D5" s="6">
        <f>B5-C5</f>
        <v/>
      </c>
      <c r="E5" s="7">
        <f>IF(B5=0,"—",C5/B5)</f>
        <v/>
      </c>
      <c r="F5" s="8">
        <f>IF(B5=0,"",REPT("▓",MIN(20,INT(C5/B5*20)))&amp;REPT("░",MAX(0,20-MIN(20,INT(C5/B5*20)))))</f>
        <v/>
      </c>
      <c r="G5" s="9">
        <f>IF(C5="","⬜",IF(C5/B5&lt;0.8,"🟢",IF(C5/B5&lt;=1,"🟡","🔴")))</f>
        <v/>
      </c>
    </row>
    <row r="6" ht="18" customHeight="1">
      <c r="A6" s="4" t="inlineStr">
        <is>
          <t>Aides/APL</t>
        </is>
      </c>
      <c r="B6" s="5" t="n"/>
      <c r="C6" s="5" t="n"/>
      <c r="D6" s="6">
        <f>B6-C6</f>
        <v/>
      </c>
      <c r="E6" s="7">
        <f>IF(B6=0,"—",C6/B6)</f>
        <v/>
      </c>
      <c r="F6" s="8">
        <f>IF(B6=0,"",REPT("▓",MIN(20,INT(C6/B6*20)))&amp;REPT("░",MAX(0,20-MIN(20,INT(C6/B6*20)))))</f>
        <v/>
      </c>
      <c r="G6" s="9">
        <f>IF(C6="","⬜",IF(C6/B6&lt;0.8,"🟢",IF(C6/B6&lt;=1,"🟡","🔴")))</f>
        <v/>
      </c>
    </row>
    <row r="7" ht="18" customHeight="1">
      <c r="A7" s="4" t="inlineStr">
        <is>
          <t>Autres revenus</t>
        </is>
      </c>
      <c r="B7" s="5" t="n"/>
      <c r="C7" s="5" t="n"/>
      <c r="D7" s="6">
        <f>B7-C7</f>
        <v/>
      </c>
      <c r="E7" s="7">
        <f>IF(B7=0,"—",C7/B7)</f>
        <v/>
      </c>
      <c r="F7" s="8">
        <f>IF(B7=0,"",REPT("▓",MIN(20,INT(C7/B7*20)))&amp;REPT("░",MAX(0,20-MIN(20,INT(C7/B7*20)))))</f>
        <v/>
      </c>
      <c r="G7" s="9">
        <f>IF(C7="","⬜",IF(C7/B7&lt;0.8,"🟢",IF(C7/B7&lt;=1,"🟡","🔴")))</f>
        <v/>
      </c>
    </row>
    <row r="8" ht="20" customHeight="1">
      <c r="A8" s="10" t="inlineStr">
        <is>
          <t>TOTAL</t>
        </is>
      </c>
      <c r="B8" s="11">
        <f>SUM(B4:B7)</f>
        <v/>
      </c>
      <c r="C8" s="11">
        <f>SUM(C4:C7)</f>
        <v/>
      </c>
      <c r="D8" s="11">
        <f>B8-C8</f>
        <v/>
      </c>
      <c r="E8" s="12">
        <f>IF(B8=0,"—",C8/B8)</f>
        <v/>
      </c>
      <c r="F8" s="13" t="n"/>
      <c r="G8" s="13" t="n"/>
    </row>
    <row r="9" ht="8" customHeight="1">
      <c r="A9" s="14" t="n"/>
      <c r="B9" s="14" t="n"/>
      <c r="C9" s="14" t="n"/>
      <c r="D9" s="14" t="n"/>
      <c r="E9" s="14" t="n"/>
      <c r="F9" s="14" t="n"/>
      <c r="G9" s="14" t="n"/>
    </row>
    <row r="10" ht="22" customHeight="1">
      <c r="A10" s="2" t="inlineStr">
        <is>
          <t>🏠 DÉPENSES FIXES</t>
        </is>
      </c>
    </row>
    <row r="11" ht="18" customHeight="1">
      <c r="A11" s="3" t="inlineStr">
        <is>
          <t>Catégorie</t>
        </is>
      </c>
      <c r="B11" s="3" t="inlineStr">
        <is>
          <t>Budget Prévu</t>
        </is>
      </c>
      <c r="C11" s="3" t="inlineStr">
        <is>
          <t>Réel</t>
        </is>
      </c>
      <c r="D11" s="3" t="inlineStr">
        <is>
          <t>Écart</t>
        </is>
      </c>
      <c r="E11" s="3" t="inlineStr">
        <is>
          <t>%</t>
        </is>
      </c>
      <c r="F11" s="3" t="inlineStr">
        <is>
          <t>Progression</t>
        </is>
      </c>
      <c r="G11" s="3" t="inlineStr">
        <is>
          <t>✓</t>
        </is>
      </c>
    </row>
    <row r="12" ht="18" customHeight="1">
      <c r="A12" s="4" t="inlineStr">
        <is>
          <t>Loyer/Crédit</t>
        </is>
      </c>
      <c r="B12" s="5" t="n"/>
      <c r="C12" s="5" t="n"/>
      <c r="D12" s="6">
        <f>B12-C12</f>
        <v/>
      </c>
      <c r="E12" s="7">
        <f>IF(B12=0,"—",C12/B12)</f>
        <v/>
      </c>
      <c r="F12" s="8">
        <f>IF(B12=0,"",REPT("▓",MIN(20,INT(C12/B12*20)))&amp;REPT("░",MAX(0,20-MIN(20,INT(C12/B12*20)))))</f>
        <v/>
      </c>
      <c r="G12" s="9">
        <f>IF(C12="","⬜",IF(C12/B12&lt;0.8,"🟢",IF(C12/B12&lt;=1,"🟡","🔴")))</f>
        <v/>
      </c>
    </row>
    <row r="13" ht="18" customHeight="1">
      <c r="A13" s="4" t="inlineStr">
        <is>
          <t>Assurances</t>
        </is>
      </c>
      <c r="B13" s="5" t="n"/>
      <c r="C13" s="5" t="n"/>
      <c r="D13" s="6">
        <f>B13-C13</f>
        <v/>
      </c>
      <c r="E13" s="7">
        <f>IF(B13=0,"—",C13/B13)</f>
        <v/>
      </c>
      <c r="F13" s="8">
        <f>IF(B13=0,"",REPT("▓",MIN(20,INT(C13/B13*20)))&amp;REPT("░",MAX(0,20-MIN(20,INT(C13/B13*20)))))</f>
        <v/>
      </c>
      <c r="G13" s="9">
        <f>IF(C13="","⬜",IF(C13/B13&lt;0.8,"🟢",IF(C13/B13&lt;=1,"🟡","🔴")))</f>
        <v/>
      </c>
    </row>
    <row r="14" ht="18" customHeight="1">
      <c r="A14" s="4" t="inlineStr">
        <is>
          <t>Abonnements</t>
        </is>
      </c>
      <c r="B14" s="5" t="n"/>
      <c r="C14" s="5" t="n"/>
      <c r="D14" s="6">
        <f>B14-C14</f>
        <v/>
      </c>
      <c r="E14" s="7">
        <f>IF(B14=0,"—",C14/B14)</f>
        <v/>
      </c>
      <c r="F14" s="8">
        <f>IF(B14=0,"",REPT("▓",MIN(20,INT(C14/B14*20)))&amp;REPT("░",MAX(0,20-MIN(20,INT(C14/B14*20)))))</f>
        <v/>
      </c>
      <c r="G14" s="9">
        <f>IF(C14="","⬜",IF(C14/B14&lt;0.8,"🟢",IF(C14/B14&lt;=1,"🟡","🔴")))</f>
        <v/>
      </c>
    </row>
    <row r="15" ht="18" customHeight="1">
      <c r="A15" s="4" t="inlineStr">
        <is>
          <t>Téléphone/Internet</t>
        </is>
      </c>
      <c r="B15" s="5" t="n"/>
      <c r="C15" s="5" t="n"/>
      <c r="D15" s="6">
        <f>B15-C15</f>
        <v/>
      </c>
      <c r="E15" s="7">
        <f>IF(B15=0,"—",C15/B15)</f>
        <v/>
      </c>
      <c r="F15" s="8">
        <f>IF(B15=0,"",REPT("▓",MIN(20,INT(C15/B15*20)))&amp;REPT("░",MAX(0,20-MIN(20,INT(C15/B15*20)))))</f>
        <v/>
      </c>
      <c r="G15" s="9">
        <f>IF(C15="","⬜",IF(C15/B15&lt;0.8,"🟢",IF(C15/B15&lt;=1,"🟡","🔴")))</f>
        <v/>
      </c>
    </row>
    <row r="16" ht="20" customHeight="1">
      <c r="A16" s="10" t="inlineStr">
        <is>
          <t>TOTAL</t>
        </is>
      </c>
      <c r="B16" s="11">
        <f>SUM(B12:B15)</f>
        <v/>
      </c>
      <c r="C16" s="11">
        <f>SUM(C12:C15)</f>
        <v/>
      </c>
      <c r="D16" s="11">
        <f>B16-C16</f>
        <v/>
      </c>
      <c r="E16" s="12">
        <f>IF(B16=0,"—",C16/B16)</f>
        <v/>
      </c>
      <c r="F16" s="13" t="n"/>
      <c r="G16" s="13" t="n"/>
    </row>
    <row r="17" ht="8" customHeight="1">
      <c r="A17" s="14" t="n"/>
      <c r="B17" s="14" t="n"/>
      <c r="C17" s="14" t="n"/>
      <c r="D17" s="14" t="n"/>
      <c r="E17" s="14" t="n"/>
      <c r="F17" s="14" t="n"/>
      <c r="G17" s="14" t="n"/>
    </row>
    <row r="18" ht="22" customHeight="1">
      <c r="A18" s="2" t="inlineStr">
        <is>
          <t>🛒 DÉPENSES VARIABLES</t>
        </is>
      </c>
    </row>
    <row r="19" ht="18" customHeight="1">
      <c r="A19" s="3" t="inlineStr">
        <is>
          <t>Catégorie</t>
        </is>
      </c>
      <c r="B19" s="3" t="inlineStr">
        <is>
          <t>Budget Prévu</t>
        </is>
      </c>
      <c r="C19" s="3" t="inlineStr">
        <is>
          <t>Réel</t>
        </is>
      </c>
      <c r="D19" s="3" t="inlineStr">
        <is>
          <t>Écart</t>
        </is>
      </c>
      <c r="E19" s="3" t="inlineStr">
        <is>
          <t>%</t>
        </is>
      </c>
      <c r="F19" s="3" t="inlineStr">
        <is>
          <t>Progression</t>
        </is>
      </c>
      <c r="G19" s="3" t="inlineStr">
        <is>
          <t>✓</t>
        </is>
      </c>
    </row>
    <row r="20" ht="18" customHeight="1">
      <c r="A20" s="4" t="inlineStr">
        <is>
          <t>Alimentation</t>
        </is>
      </c>
      <c r="B20" s="5" t="n"/>
      <c r="C20" s="5" t="n"/>
      <c r="D20" s="6">
        <f>B20-C20</f>
        <v/>
      </c>
      <c r="E20" s="7">
        <f>IF(B20=0,"—",C20/B20)</f>
        <v/>
      </c>
      <c r="F20" s="8">
        <f>IF(B20=0,"",REPT("▓",MIN(20,INT(C20/B20*20)))&amp;REPT("░",MAX(0,20-MIN(20,INT(C20/B20*20)))))</f>
        <v/>
      </c>
      <c r="G20" s="9">
        <f>IF(C20="","⬜",IF(C20/B20&lt;0.8,"🟢",IF(C20/B20&lt;=1,"🟡","🔴")))</f>
        <v/>
      </c>
    </row>
    <row r="21" ht="18" customHeight="1">
      <c r="A21" s="4" t="inlineStr">
        <is>
          <t>Transport</t>
        </is>
      </c>
      <c r="B21" s="5" t="n"/>
      <c r="C21" s="5" t="n"/>
      <c r="D21" s="6">
        <f>B21-C21</f>
        <v/>
      </c>
      <c r="E21" s="7">
        <f>IF(B21=0,"—",C21/B21)</f>
        <v/>
      </c>
      <c r="F21" s="8">
        <f>IF(B21=0,"",REPT("▓",MIN(20,INT(C21/B21*20)))&amp;REPT("░",MAX(0,20-MIN(20,INT(C21/B21*20)))))</f>
        <v/>
      </c>
      <c r="G21" s="9">
        <f>IF(C21="","⬜",IF(C21/B21&lt;0.8,"🟢",IF(C21/B21&lt;=1,"🟡","🔴")))</f>
        <v/>
      </c>
    </row>
    <row r="22" ht="18" customHeight="1">
      <c r="A22" s="4" t="inlineStr">
        <is>
          <t>Santé</t>
        </is>
      </c>
      <c r="B22" s="5" t="n"/>
      <c r="C22" s="5" t="n"/>
      <c r="D22" s="6">
        <f>B22-C22</f>
        <v/>
      </c>
      <c r="E22" s="7">
        <f>IF(B22=0,"—",C22/B22)</f>
        <v/>
      </c>
      <c r="F22" s="8">
        <f>IF(B22=0,"",REPT("▓",MIN(20,INT(C22/B22*20)))&amp;REPT("░",MAX(0,20-MIN(20,INT(C22/B22*20)))))</f>
        <v/>
      </c>
      <c r="G22" s="9">
        <f>IF(C22="","⬜",IF(C22/B22&lt;0.8,"🟢",IF(C22/B22&lt;=1,"🟡","🔴")))</f>
        <v/>
      </c>
    </row>
    <row r="23" ht="18" customHeight="1">
      <c r="A23" s="4" t="inlineStr">
        <is>
          <t>Loisirs</t>
        </is>
      </c>
      <c r="B23" s="5" t="n"/>
      <c r="C23" s="5" t="n"/>
      <c r="D23" s="6">
        <f>B23-C23</f>
        <v/>
      </c>
      <c r="E23" s="7">
        <f>IF(B23=0,"—",C23/B23)</f>
        <v/>
      </c>
      <c r="F23" s="8">
        <f>IF(B23=0,"",REPT("▓",MIN(20,INT(C23/B23*20)))&amp;REPT("░",MAX(0,20-MIN(20,INT(C23/B23*20)))))</f>
        <v/>
      </c>
      <c r="G23" s="9">
        <f>IF(C23="","⬜",IF(C23/B23&lt;0.8,"🟢",IF(C23/B23&lt;=1,"🟡","🔴")))</f>
        <v/>
      </c>
    </row>
    <row r="24" ht="18" customHeight="1">
      <c r="A24" s="4" t="inlineStr">
        <is>
          <t>Shopping</t>
        </is>
      </c>
      <c r="B24" s="5" t="n"/>
      <c r="C24" s="5" t="n"/>
      <c r="D24" s="6">
        <f>B24-C24</f>
        <v/>
      </c>
      <c r="E24" s="7">
        <f>IF(B24=0,"—",C24/B24)</f>
        <v/>
      </c>
      <c r="F24" s="8">
        <f>IF(B24=0,"",REPT("▓",MIN(20,INT(C24/B24*20)))&amp;REPT("░",MAX(0,20-MIN(20,INT(C24/B24*20)))))</f>
        <v/>
      </c>
      <c r="G24" s="9">
        <f>IF(C24="","⬜",IF(C24/B24&lt;0.8,"🟢",IF(C24/B24&lt;=1,"🟡","🔴")))</f>
        <v/>
      </c>
    </row>
    <row r="25" ht="18" customHeight="1">
      <c r="A25" s="4" t="inlineStr">
        <is>
          <t>Restaurant</t>
        </is>
      </c>
      <c r="B25" s="5" t="n"/>
      <c r="C25" s="5" t="n"/>
      <c r="D25" s="6">
        <f>B25-C25</f>
        <v/>
      </c>
      <c r="E25" s="7">
        <f>IF(B25=0,"—",C25/B25)</f>
        <v/>
      </c>
      <c r="F25" s="8">
        <f>IF(B25=0,"",REPT("▓",MIN(20,INT(C25/B25*20)))&amp;REPT("░",MAX(0,20-MIN(20,INT(C25/B25*20)))))</f>
        <v/>
      </c>
      <c r="G25" s="9">
        <f>IF(C25="","⬜",IF(C25/B25&lt;0.8,"🟢",IF(C25/B25&lt;=1,"🟡","🔴")))</f>
        <v/>
      </c>
    </row>
    <row r="26" ht="18" customHeight="1">
      <c r="A26" s="4" t="inlineStr">
        <is>
          <t>Beauté</t>
        </is>
      </c>
      <c r="B26" s="5" t="n"/>
      <c r="C26" s="5" t="n"/>
      <c r="D26" s="6">
        <f>B26-C26</f>
        <v/>
      </c>
      <c r="E26" s="7">
        <f>IF(B26=0,"—",C26/B26)</f>
        <v/>
      </c>
      <c r="F26" s="8">
        <f>IF(B26=0,"",REPT("▓",MIN(20,INT(C26/B26*20)))&amp;REPT("░",MAX(0,20-MIN(20,INT(C26/B26*20)))))</f>
        <v/>
      </c>
      <c r="G26" s="9">
        <f>IF(C26="","⬜",IF(C26/B26&lt;0.8,"🟢",IF(C26/B26&lt;=1,"🟡","🔴")))</f>
        <v/>
      </c>
    </row>
    <row r="27" ht="18" customHeight="1">
      <c r="A27" s="4" t="inlineStr">
        <is>
          <t>Autre</t>
        </is>
      </c>
      <c r="B27" s="5" t="n"/>
      <c r="C27" s="5" t="n"/>
      <c r="D27" s="6">
        <f>B27-C27</f>
        <v/>
      </c>
      <c r="E27" s="7">
        <f>IF(B27=0,"—",C27/B27)</f>
        <v/>
      </c>
      <c r="F27" s="8">
        <f>IF(B27=0,"",REPT("▓",MIN(20,INT(C27/B27*20)))&amp;REPT("░",MAX(0,20-MIN(20,INT(C27/B27*20)))))</f>
        <v/>
      </c>
      <c r="G27" s="9">
        <f>IF(C27="","⬜",IF(C27/B27&lt;0.8,"🟢",IF(C27/B27&lt;=1,"🟡","🔴")))</f>
        <v/>
      </c>
    </row>
    <row r="28" ht="20" customHeight="1">
      <c r="A28" s="10" t="inlineStr">
        <is>
          <t>TOTAL</t>
        </is>
      </c>
      <c r="B28" s="11">
        <f>SUM(B20:B27)</f>
        <v/>
      </c>
      <c r="C28" s="11">
        <f>SUM(C20:C27)</f>
        <v/>
      </c>
      <c r="D28" s="11">
        <f>B28-C28</f>
        <v/>
      </c>
      <c r="E28" s="12">
        <f>IF(B28=0,"—",C28/B28)</f>
        <v/>
      </c>
      <c r="F28" s="13" t="n"/>
      <c r="G28" s="13" t="n"/>
    </row>
    <row r="29" ht="8" customHeight="1">
      <c r="A29" s="14" t="n"/>
      <c r="B29" s="14" t="n"/>
      <c r="C29" s="14" t="n"/>
      <c r="D29" s="14" t="n"/>
      <c r="E29" s="14" t="n"/>
      <c r="F29" s="14" t="n"/>
      <c r="G29" s="14" t="n"/>
    </row>
    <row r="30" ht="22" customHeight="1">
      <c r="A30" s="2" t="inlineStr">
        <is>
          <t>💳 CRÉDITS</t>
        </is>
      </c>
    </row>
    <row r="31" ht="18" customHeight="1">
      <c r="A31" s="3" t="inlineStr">
        <is>
          <t>Catégorie</t>
        </is>
      </c>
      <c r="B31" s="3" t="inlineStr">
        <is>
          <t>Budget Prévu</t>
        </is>
      </c>
      <c r="C31" s="3" t="inlineStr">
        <is>
          <t>Réel</t>
        </is>
      </c>
      <c r="D31" s="3" t="inlineStr">
        <is>
          <t>Écart</t>
        </is>
      </c>
      <c r="E31" s="3" t="inlineStr">
        <is>
          <t>%</t>
        </is>
      </c>
      <c r="F31" s="3" t="inlineStr">
        <is>
          <t>Progression</t>
        </is>
      </c>
      <c r="G31" s="3" t="inlineStr">
        <is>
          <t>✓</t>
        </is>
      </c>
    </row>
    <row r="32" ht="18" customHeight="1">
      <c r="A32" s="4" t="inlineStr">
        <is>
          <t>Crédit auto</t>
        </is>
      </c>
      <c r="B32" s="5" t="n"/>
      <c r="C32" s="5" t="n"/>
      <c r="D32" s="6">
        <f>B32-C32</f>
        <v/>
      </c>
      <c r="E32" s="7">
        <f>IF(B32=0,"—",C32/B32)</f>
        <v/>
      </c>
      <c r="F32" s="8">
        <f>IF(B32=0,"",REPT("▓",MIN(20,INT(C32/B32*20)))&amp;REPT("░",MAX(0,20-MIN(20,INT(C32/B32*20)))))</f>
        <v/>
      </c>
      <c r="G32" s="9">
        <f>IF(C32="","⬜",IF(C32/B32&lt;0.8,"🟢",IF(C32/B32&lt;=1,"🟡","🔴")))</f>
        <v/>
      </c>
    </row>
    <row r="33" ht="18" customHeight="1">
      <c r="A33" s="4" t="inlineStr">
        <is>
          <t>Crédit conso</t>
        </is>
      </c>
      <c r="B33" s="5" t="n"/>
      <c r="C33" s="5" t="n"/>
      <c r="D33" s="6">
        <f>B33-C33</f>
        <v/>
      </c>
      <c r="E33" s="7">
        <f>IF(B33=0,"—",C33/B33)</f>
        <v/>
      </c>
      <c r="F33" s="8">
        <f>IF(B33=0,"",REPT("▓",MIN(20,INT(C33/B33*20)))&amp;REPT("░",MAX(0,20-MIN(20,INT(C33/B33*20)))))</f>
        <v/>
      </c>
      <c r="G33" s="9">
        <f>IF(C33="","⬜",IF(C33/B33&lt;0.8,"🟢",IF(C33/B33&lt;=1,"🟡","🔴")))</f>
        <v/>
      </c>
    </row>
    <row r="34" ht="18" customHeight="1">
      <c r="A34" s="4" t="inlineStr">
        <is>
          <t>Autre crédit</t>
        </is>
      </c>
      <c r="B34" s="5" t="n"/>
      <c r="C34" s="5" t="n"/>
      <c r="D34" s="6">
        <f>B34-C34</f>
        <v/>
      </c>
      <c r="E34" s="7">
        <f>IF(B34=0,"—",C34/B34)</f>
        <v/>
      </c>
      <c r="F34" s="8">
        <f>IF(B34=0,"",REPT("▓",MIN(20,INT(C34/B34*20)))&amp;REPT("░",MAX(0,20-MIN(20,INT(C34/B34*20)))))</f>
        <v/>
      </c>
      <c r="G34" s="9">
        <f>IF(C34="","⬜",IF(C34/B34&lt;0.8,"🟢",IF(C34/B34&lt;=1,"🟡","🔴")))</f>
        <v/>
      </c>
    </row>
    <row r="35" ht="20" customHeight="1">
      <c r="A35" s="10" t="inlineStr">
        <is>
          <t>TOTAL</t>
        </is>
      </c>
      <c r="B35" s="11">
        <f>SUM(B32:B34)</f>
        <v/>
      </c>
      <c r="C35" s="11">
        <f>SUM(C32:C34)</f>
        <v/>
      </c>
      <c r="D35" s="11">
        <f>B35-C35</f>
        <v/>
      </c>
      <c r="E35" s="12">
        <f>IF(B35=0,"—",C35/B35)</f>
        <v/>
      </c>
      <c r="F35" s="13" t="n"/>
      <c r="G35" s="13" t="n"/>
    </row>
    <row r="36" ht="8" customHeight="1">
      <c r="A36" s="14" t="n"/>
      <c r="B36" s="14" t="n"/>
      <c r="C36" s="14" t="n"/>
      <c r="D36" s="14" t="n"/>
      <c r="E36" s="14" t="n"/>
      <c r="F36" s="14" t="n"/>
      <c r="G36" s="14" t="n"/>
    </row>
    <row r="37" ht="22" customHeight="1">
      <c r="A37" s="2" t="inlineStr">
        <is>
          <t>🏦 ÉPARGNE</t>
        </is>
      </c>
    </row>
    <row r="38" ht="18" customHeight="1">
      <c r="A38" s="3" t="inlineStr">
        <is>
          <t>Catégorie</t>
        </is>
      </c>
      <c r="B38" s="3" t="inlineStr">
        <is>
          <t>Budget Prévu</t>
        </is>
      </c>
      <c r="C38" s="3" t="inlineStr">
        <is>
          <t>Réel</t>
        </is>
      </c>
      <c r="D38" s="3" t="inlineStr">
        <is>
          <t>Écart</t>
        </is>
      </c>
      <c r="E38" s="3" t="inlineStr">
        <is>
          <t>%</t>
        </is>
      </c>
      <c r="F38" s="3" t="inlineStr">
        <is>
          <t>Progression</t>
        </is>
      </c>
      <c r="G38" s="3" t="inlineStr">
        <is>
          <t>✓</t>
        </is>
      </c>
    </row>
    <row r="39" ht="18" customHeight="1">
      <c r="A39" s="4" t="inlineStr">
        <is>
          <t>Livret A</t>
        </is>
      </c>
      <c r="B39" s="5" t="n"/>
      <c r="C39" s="5" t="n"/>
      <c r="D39" s="6">
        <f>B39-C39</f>
        <v/>
      </c>
      <c r="E39" s="7">
        <f>IF(B39=0,"—",C39/B39)</f>
        <v/>
      </c>
      <c r="F39" s="8">
        <f>IF(B39=0,"",REPT("▓",MIN(20,INT(C39/B39*20)))&amp;REPT("░",MAX(0,20-MIN(20,INT(C39/B39*20)))))</f>
        <v/>
      </c>
      <c r="G39" s="9">
        <f>IF(C39="","⬜",IF(C39/B39&lt;0.8,"🟢",IF(C39/B39&lt;=1,"🟡","🔴")))</f>
        <v/>
      </c>
    </row>
    <row r="40" ht="18" customHeight="1">
      <c r="A40" s="4" t="inlineStr">
        <is>
          <t>PEL</t>
        </is>
      </c>
      <c r="B40" s="5" t="n"/>
      <c r="C40" s="5" t="n"/>
      <c r="D40" s="6">
        <f>B40-C40</f>
        <v/>
      </c>
      <c r="E40" s="7">
        <f>IF(B40=0,"—",C40/B40)</f>
        <v/>
      </c>
      <c r="F40" s="8">
        <f>IF(B40=0,"",REPT("▓",MIN(20,INT(C40/B40*20)))&amp;REPT("░",MAX(0,20-MIN(20,INT(C40/B40*20)))))</f>
        <v/>
      </c>
      <c r="G40" s="9">
        <f>IF(C40="","⬜",IF(C40/B40&lt;0.8,"🟢",IF(C40/B40&lt;=1,"🟡","🔴")))</f>
        <v/>
      </c>
    </row>
    <row r="41" ht="18" customHeight="1">
      <c r="A41" s="4" t="inlineStr">
        <is>
          <t>Assurance-vie</t>
        </is>
      </c>
      <c r="B41" s="5" t="n"/>
      <c r="C41" s="5" t="n"/>
      <c r="D41" s="6">
        <f>B41-C41</f>
        <v/>
      </c>
      <c r="E41" s="7">
        <f>IF(B41=0,"—",C41/B41)</f>
        <v/>
      </c>
      <c r="F41" s="8">
        <f>IF(B41=0,"",REPT("▓",MIN(20,INT(C41/B41*20)))&amp;REPT("░",MAX(0,20-MIN(20,INT(C41/B41*20)))))</f>
        <v/>
      </c>
      <c r="G41" s="9">
        <f>IF(C41="","⬜",IF(C41/B41&lt;0.8,"🟢",IF(C41/B41&lt;=1,"🟡","🔴")))</f>
        <v/>
      </c>
    </row>
    <row r="42" ht="18" customHeight="1">
      <c r="A42" s="4" t="inlineStr">
        <is>
          <t>Investissements</t>
        </is>
      </c>
      <c r="B42" s="5" t="n"/>
      <c r="C42" s="5" t="n"/>
      <c r="D42" s="6">
        <f>B42-C42</f>
        <v/>
      </c>
      <c r="E42" s="7">
        <f>IF(B42=0,"—",C42/B42)</f>
        <v/>
      </c>
      <c r="F42" s="8">
        <f>IF(B42=0,"",REPT("▓",MIN(20,INT(C42/B42*20)))&amp;REPT("░",MAX(0,20-MIN(20,INT(C42/B42*20)))))</f>
        <v/>
      </c>
      <c r="G42" s="9">
        <f>IF(C42="","⬜",IF(C42/B42&lt;0.8,"🟢",IF(C42/B42&lt;=1,"🟡","🔴")))</f>
        <v/>
      </c>
    </row>
    <row r="43" ht="20" customHeight="1">
      <c r="A43" s="10" t="inlineStr">
        <is>
          <t>TOTAL</t>
        </is>
      </c>
      <c r="B43" s="11">
        <f>SUM(B39:B42)</f>
        <v/>
      </c>
      <c r="C43" s="11">
        <f>SUM(C39:C42)</f>
        <v/>
      </c>
      <c r="D43" s="11">
        <f>B43-C43</f>
        <v/>
      </c>
      <c r="E43" s="12">
        <f>IF(B43=0,"—",C43/B43)</f>
        <v/>
      </c>
      <c r="F43" s="13" t="n"/>
      <c r="G43" s="13" t="n"/>
    </row>
    <row r="44" ht="8" customHeight="1">
      <c r="A44" s="14" t="n"/>
      <c r="B44" s="14" t="n"/>
      <c r="C44" s="14" t="n"/>
      <c r="D44" s="14" t="n"/>
      <c r="E44" s="14" t="n"/>
      <c r="F44" s="14" t="n"/>
      <c r="G44" s="14" t="n"/>
    </row>
    <row r="46" ht="22" customHeight="1">
      <c r="A46" s="15" t="inlineStr">
        <is>
          <t>Total Revenus</t>
        </is>
      </c>
      <c r="B46" s="13" t="n"/>
      <c r="C46" s="16">
        <f>C8</f>
        <v/>
      </c>
      <c r="D46" s="13" t="n"/>
      <c r="E46" s="13" t="n"/>
      <c r="F46" s="13" t="n"/>
      <c r="G46" s="13" t="n"/>
    </row>
    <row r="47" ht="22" customHeight="1">
      <c r="A47" s="15" t="inlineStr">
        <is>
          <t>Total Dépenses</t>
        </is>
      </c>
      <c r="B47" s="13" t="n"/>
      <c r="C47" s="16">
        <f>C16+C28+C35</f>
        <v/>
      </c>
      <c r="D47" s="13" t="n"/>
      <c r="E47" s="13" t="n"/>
      <c r="F47" s="13" t="n"/>
      <c r="G47" s="13" t="n"/>
    </row>
    <row r="48" ht="22" customHeight="1">
      <c r="A48" s="17" t="inlineStr">
        <is>
          <t>Solde du mois</t>
        </is>
      </c>
      <c r="B48" s="18" t="n"/>
      <c r="C48" s="19">
        <f>C46-C47</f>
        <v/>
      </c>
      <c r="D48" s="18" t="n"/>
      <c r="E48" s="18" t="n"/>
      <c r="F48" s="18" t="n"/>
      <c r="G48" s="18" t="n"/>
    </row>
    <row r="49" ht="22" customHeight="1">
      <c r="A49" s="17" t="inlineStr">
        <is>
          <t>Taux d'épargne</t>
        </is>
      </c>
      <c r="B49" s="18" t="n"/>
      <c r="C49" s="20">
        <f>IF(C46=0,"—",C48/C46)</f>
        <v/>
      </c>
      <c r="D49" s="18" t="n"/>
      <c r="E49" s="18" t="n"/>
      <c r="F49" s="18" t="n"/>
      <c r="G49" s="18" t="n"/>
    </row>
    <row r="50" ht="22" customHeight="1">
      <c r="A50" s="15" t="inlineStr">
        <is>
          <t>Objectif Épargne</t>
        </is>
      </c>
      <c r="B50" s="13" t="n"/>
      <c r="C50" s="21" t="n"/>
      <c r="D50" s="13" t="n"/>
      <c r="E50" s="13" t="n"/>
      <c r="F50" s="13" t="n"/>
      <c r="G50" s="13" t="n"/>
    </row>
  </sheetData>
  <mergeCells count="6">
    <mergeCell ref="A1:G1"/>
    <mergeCell ref="A18:G18"/>
    <mergeCell ref="A30:G30"/>
    <mergeCell ref="A2:G2"/>
    <mergeCell ref="A10:G10"/>
    <mergeCell ref="A37:G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F3460"/>
    <outlinePr summaryBelow="1" summaryRight="1"/>
    <pageSetUpPr/>
  </sheetPr>
  <dimension ref="A1:G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0" customWidth="1" min="5" max="5"/>
    <col width="22" customWidth="1" min="6" max="6"/>
    <col width="6" customWidth="1" min="7" max="7"/>
  </cols>
  <sheetData>
    <row r="1" ht="36" customHeight="1">
      <c r="A1" s="1" t="inlineStr">
        <is>
          <t>📅 MARS</t>
        </is>
      </c>
    </row>
    <row r="2" ht="22" customHeight="1">
      <c r="A2" s="2" t="inlineStr">
        <is>
          <t>💰 REVENUS</t>
        </is>
      </c>
    </row>
    <row r="3" ht="18" customHeight="1">
      <c r="A3" s="3" t="inlineStr">
        <is>
          <t>Catégorie</t>
        </is>
      </c>
      <c r="B3" s="3" t="inlineStr">
        <is>
          <t>Budget Prévu</t>
        </is>
      </c>
      <c r="C3" s="3" t="inlineStr">
        <is>
          <t>Réel</t>
        </is>
      </c>
      <c r="D3" s="3" t="inlineStr">
        <is>
          <t>Écart</t>
        </is>
      </c>
      <c r="E3" s="3" t="inlineStr">
        <is>
          <t>%</t>
        </is>
      </c>
      <c r="F3" s="3" t="inlineStr">
        <is>
          <t>Progression</t>
        </is>
      </c>
      <c r="G3" s="3" t="inlineStr">
        <is>
          <t>✓</t>
        </is>
      </c>
    </row>
    <row r="4" ht="18" customHeight="1">
      <c r="A4" s="4" t="inlineStr">
        <is>
          <t>Salaire</t>
        </is>
      </c>
      <c r="B4" s="5" t="n"/>
      <c r="C4" s="5" t="n"/>
      <c r="D4" s="6">
        <f>B4-C4</f>
        <v/>
      </c>
      <c r="E4" s="7">
        <f>IF(B4=0,"—",C4/B4)</f>
        <v/>
      </c>
      <c r="F4" s="8">
        <f>IF(B4=0,"",REPT("▓",MIN(20,INT(C4/B4*20)))&amp;REPT("░",MAX(0,20-MIN(20,INT(C4/B4*20)))))</f>
        <v/>
      </c>
      <c r="G4" s="9">
        <f>IF(C4="","⬜",IF(C4/B4&lt;0.8,"🟢",IF(C4/B4&lt;=1,"🟡","🔴")))</f>
        <v/>
      </c>
    </row>
    <row r="5" ht="18" customHeight="1">
      <c r="A5" s="4" t="inlineStr">
        <is>
          <t>Freelance</t>
        </is>
      </c>
      <c r="B5" s="5" t="n"/>
      <c r="C5" s="5" t="n"/>
      <c r="D5" s="6">
        <f>B5-C5</f>
        <v/>
      </c>
      <c r="E5" s="7">
        <f>IF(B5=0,"—",C5/B5)</f>
        <v/>
      </c>
      <c r="F5" s="8">
        <f>IF(B5=0,"",REPT("▓",MIN(20,INT(C5/B5*20)))&amp;REPT("░",MAX(0,20-MIN(20,INT(C5/B5*20)))))</f>
        <v/>
      </c>
      <c r="G5" s="9">
        <f>IF(C5="","⬜",IF(C5/B5&lt;0.8,"🟢",IF(C5/B5&lt;=1,"🟡","🔴")))</f>
        <v/>
      </c>
    </row>
    <row r="6" ht="18" customHeight="1">
      <c r="A6" s="4" t="inlineStr">
        <is>
          <t>Aides/APL</t>
        </is>
      </c>
      <c r="B6" s="5" t="n"/>
      <c r="C6" s="5" t="n"/>
      <c r="D6" s="6">
        <f>B6-C6</f>
        <v/>
      </c>
      <c r="E6" s="7">
        <f>IF(B6=0,"—",C6/B6)</f>
        <v/>
      </c>
      <c r="F6" s="8">
        <f>IF(B6=0,"",REPT("▓",MIN(20,INT(C6/B6*20)))&amp;REPT("░",MAX(0,20-MIN(20,INT(C6/B6*20)))))</f>
        <v/>
      </c>
      <c r="G6" s="9">
        <f>IF(C6="","⬜",IF(C6/B6&lt;0.8,"🟢",IF(C6/B6&lt;=1,"🟡","🔴")))</f>
        <v/>
      </c>
    </row>
    <row r="7" ht="18" customHeight="1">
      <c r="A7" s="4" t="inlineStr">
        <is>
          <t>Autres revenus</t>
        </is>
      </c>
      <c r="B7" s="5" t="n"/>
      <c r="C7" s="5" t="n"/>
      <c r="D7" s="6">
        <f>B7-C7</f>
        <v/>
      </c>
      <c r="E7" s="7">
        <f>IF(B7=0,"—",C7/B7)</f>
        <v/>
      </c>
      <c r="F7" s="8">
        <f>IF(B7=0,"",REPT("▓",MIN(20,INT(C7/B7*20)))&amp;REPT("░",MAX(0,20-MIN(20,INT(C7/B7*20)))))</f>
        <v/>
      </c>
      <c r="G7" s="9">
        <f>IF(C7="","⬜",IF(C7/B7&lt;0.8,"🟢",IF(C7/B7&lt;=1,"🟡","🔴")))</f>
        <v/>
      </c>
    </row>
    <row r="8" ht="20" customHeight="1">
      <c r="A8" s="10" t="inlineStr">
        <is>
          <t>TOTAL</t>
        </is>
      </c>
      <c r="B8" s="11">
        <f>SUM(B4:B7)</f>
        <v/>
      </c>
      <c r="C8" s="11">
        <f>SUM(C4:C7)</f>
        <v/>
      </c>
      <c r="D8" s="11">
        <f>B8-C8</f>
        <v/>
      </c>
      <c r="E8" s="12">
        <f>IF(B8=0,"—",C8/B8)</f>
        <v/>
      </c>
      <c r="F8" s="13" t="n"/>
      <c r="G8" s="13" t="n"/>
    </row>
    <row r="9" ht="8" customHeight="1">
      <c r="A9" s="14" t="n"/>
      <c r="B9" s="14" t="n"/>
      <c r="C9" s="14" t="n"/>
      <c r="D9" s="14" t="n"/>
      <c r="E9" s="14" t="n"/>
      <c r="F9" s="14" t="n"/>
      <c r="G9" s="14" t="n"/>
    </row>
    <row r="10" ht="22" customHeight="1">
      <c r="A10" s="2" t="inlineStr">
        <is>
          <t>🏠 DÉPENSES FIXES</t>
        </is>
      </c>
    </row>
    <row r="11" ht="18" customHeight="1">
      <c r="A11" s="3" t="inlineStr">
        <is>
          <t>Catégorie</t>
        </is>
      </c>
      <c r="B11" s="3" t="inlineStr">
        <is>
          <t>Budget Prévu</t>
        </is>
      </c>
      <c r="C11" s="3" t="inlineStr">
        <is>
          <t>Réel</t>
        </is>
      </c>
      <c r="D11" s="3" t="inlineStr">
        <is>
          <t>Écart</t>
        </is>
      </c>
      <c r="E11" s="3" t="inlineStr">
        <is>
          <t>%</t>
        </is>
      </c>
      <c r="F11" s="3" t="inlineStr">
        <is>
          <t>Progression</t>
        </is>
      </c>
      <c r="G11" s="3" t="inlineStr">
        <is>
          <t>✓</t>
        </is>
      </c>
    </row>
    <row r="12" ht="18" customHeight="1">
      <c r="A12" s="4" t="inlineStr">
        <is>
          <t>Loyer/Crédit</t>
        </is>
      </c>
      <c r="B12" s="5" t="n"/>
      <c r="C12" s="5" t="n"/>
      <c r="D12" s="6">
        <f>B12-C12</f>
        <v/>
      </c>
      <c r="E12" s="7">
        <f>IF(B12=0,"—",C12/B12)</f>
        <v/>
      </c>
      <c r="F12" s="8">
        <f>IF(B12=0,"",REPT("▓",MIN(20,INT(C12/B12*20)))&amp;REPT("░",MAX(0,20-MIN(20,INT(C12/B12*20)))))</f>
        <v/>
      </c>
      <c r="G12" s="9">
        <f>IF(C12="","⬜",IF(C12/B12&lt;0.8,"🟢",IF(C12/B12&lt;=1,"🟡","🔴")))</f>
        <v/>
      </c>
    </row>
    <row r="13" ht="18" customHeight="1">
      <c r="A13" s="4" t="inlineStr">
        <is>
          <t>Assurances</t>
        </is>
      </c>
      <c r="B13" s="5" t="n"/>
      <c r="C13" s="5" t="n"/>
      <c r="D13" s="6">
        <f>B13-C13</f>
        <v/>
      </c>
      <c r="E13" s="7">
        <f>IF(B13=0,"—",C13/B13)</f>
        <v/>
      </c>
      <c r="F13" s="8">
        <f>IF(B13=0,"",REPT("▓",MIN(20,INT(C13/B13*20)))&amp;REPT("░",MAX(0,20-MIN(20,INT(C13/B13*20)))))</f>
        <v/>
      </c>
      <c r="G13" s="9">
        <f>IF(C13="","⬜",IF(C13/B13&lt;0.8,"🟢",IF(C13/B13&lt;=1,"🟡","🔴")))</f>
        <v/>
      </c>
    </row>
    <row r="14" ht="18" customHeight="1">
      <c r="A14" s="4" t="inlineStr">
        <is>
          <t>Abonnements</t>
        </is>
      </c>
      <c r="B14" s="5" t="n"/>
      <c r="C14" s="5" t="n"/>
      <c r="D14" s="6">
        <f>B14-C14</f>
        <v/>
      </c>
      <c r="E14" s="7">
        <f>IF(B14=0,"—",C14/B14)</f>
        <v/>
      </c>
      <c r="F14" s="8">
        <f>IF(B14=0,"",REPT("▓",MIN(20,INT(C14/B14*20)))&amp;REPT("░",MAX(0,20-MIN(20,INT(C14/B14*20)))))</f>
        <v/>
      </c>
      <c r="G14" s="9">
        <f>IF(C14="","⬜",IF(C14/B14&lt;0.8,"🟢",IF(C14/B14&lt;=1,"🟡","🔴")))</f>
        <v/>
      </c>
    </row>
    <row r="15" ht="18" customHeight="1">
      <c r="A15" s="4" t="inlineStr">
        <is>
          <t>Téléphone/Internet</t>
        </is>
      </c>
      <c r="B15" s="5" t="n"/>
      <c r="C15" s="5" t="n"/>
      <c r="D15" s="6">
        <f>B15-C15</f>
        <v/>
      </c>
      <c r="E15" s="7">
        <f>IF(B15=0,"—",C15/B15)</f>
        <v/>
      </c>
      <c r="F15" s="8">
        <f>IF(B15=0,"",REPT("▓",MIN(20,INT(C15/B15*20)))&amp;REPT("░",MAX(0,20-MIN(20,INT(C15/B15*20)))))</f>
        <v/>
      </c>
      <c r="G15" s="9">
        <f>IF(C15="","⬜",IF(C15/B15&lt;0.8,"🟢",IF(C15/B15&lt;=1,"🟡","🔴")))</f>
        <v/>
      </c>
    </row>
    <row r="16" ht="20" customHeight="1">
      <c r="A16" s="10" t="inlineStr">
        <is>
          <t>TOTAL</t>
        </is>
      </c>
      <c r="B16" s="11">
        <f>SUM(B12:B15)</f>
        <v/>
      </c>
      <c r="C16" s="11">
        <f>SUM(C12:C15)</f>
        <v/>
      </c>
      <c r="D16" s="11">
        <f>B16-C16</f>
        <v/>
      </c>
      <c r="E16" s="12">
        <f>IF(B16=0,"—",C16/B16)</f>
        <v/>
      </c>
      <c r="F16" s="13" t="n"/>
      <c r="G16" s="13" t="n"/>
    </row>
    <row r="17" ht="8" customHeight="1">
      <c r="A17" s="14" t="n"/>
      <c r="B17" s="14" t="n"/>
      <c r="C17" s="14" t="n"/>
      <c r="D17" s="14" t="n"/>
      <c r="E17" s="14" t="n"/>
      <c r="F17" s="14" t="n"/>
      <c r="G17" s="14" t="n"/>
    </row>
    <row r="18" ht="22" customHeight="1">
      <c r="A18" s="2" t="inlineStr">
        <is>
          <t>🛒 DÉPENSES VARIABLES</t>
        </is>
      </c>
    </row>
    <row r="19" ht="18" customHeight="1">
      <c r="A19" s="3" t="inlineStr">
        <is>
          <t>Catégorie</t>
        </is>
      </c>
      <c r="B19" s="3" t="inlineStr">
        <is>
          <t>Budget Prévu</t>
        </is>
      </c>
      <c r="C19" s="3" t="inlineStr">
        <is>
          <t>Réel</t>
        </is>
      </c>
      <c r="D19" s="3" t="inlineStr">
        <is>
          <t>Écart</t>
        </is>
      </c>
      <c r="E19" s="3" t="inlineStr">
        <is>
          <t>%</t>
        </is>
      </c>
      <c r="F19" s="3" t="inlineStr">
        <is>
          <t>Progression</t>
        </is>
      </c>
      <c r="G19" s="3" t="inlineStr">
        <is>
          <t>✓</t>
        </is>
      </c>
    </row>
    <row r="20" ht="18" customHeight="1">
      <c r="A20" s="4" t="inlineStr">
        <is>
          <t>Alimentation</t>
        </is>
      </c>
      <c r="B20" s="5" t="n"/>
      <c r="C20" s="5" t="n"/>
      <c r="D20" s="6">
        <f>B20-C20</f>
        <v/>
      </c>
      <c r="E20" s="7">
        <f>IF(B20=0,"—",C20/B20)</f>
        <v/>
      </c>
      <c r="F20" s="8">
        <f>IF(B20=0,"",REPT("▓",MIN(20,INT(C20/B20*20)))&amp;REPT("░",MAX(0,20-MIN(20,INT(C20/B20*20)))))</f>
        <v/>
      </c>
      <c r="G20" s="9">
        <f>IF(C20="","⬜",IF(C20/B20&lt;0.8,"🟢",IF(C20/B20&lt;=1,"🟡","🔴")))</f>
        <v/>
      </c>
    </row>
    <row r="21" ht="18" customHeight="1">
      <c r="A21" s="4" t="inlineStr">
        <is>
          <t>Transport</t>
        </is>
      </c>
      <c r="B21" s="5" t="n"/>
      <c r="C21" s="5" t="n"/>
      <c r="D21" s="6">
        <f>B21-C21</f>
        <v/>
      </c>
      <c r="E21" s="7">
        <f>IF(B21=0,"—",C21/B21)</f>
        <v/>
      </c>
      <c r="F21" s="8">
        <f>IF(B21=0,"",REPT("▓",MIN(20,INT(C21/B21*20)))&amp;REPT("░",MAX(0,20-MIN(20,INT(C21/B21*20)))))</f>
        <v/>
      </c>
      <c r="G21" s="9">
        <f>IF(C21="","⬜",IF(C21/B21&lt;0.8,"🟢",IF(C21/B21&lt;=1,"🟡","🔴")))</f>
        <v/>
      </c>
    </row>
    <row r="22" ht="18" customHeight="1">
      <c r="A22" s="4" t="inlineStr">
        <is>
          <t>Santé</t>
        </is>
      </c>
      <c r="B22" s="5" t="n"/>
      <c r="C22" s="5" t="n"/>
      <c r="D22" s="6">
        <f>B22-C22</f>
        <v/>
      </c>
      <c r="E22" s="7">
        <f>IF(B22=0,"—",C22/B22)</f>
        <v/>
      </c>
      <c r="F22" s="8">
        <f>IF(B22=0,"",REPT("▓",MIN(20,INT(C22/B22*20)))&amp;REPT("░",MAX(0,20-MIN(20,INT(C22/B22*20)))))</f>
        <v/>
      </c>
      <c r="G22" s="9">
        <f>IF(C22="","⬜",IF(C22/B22&lt;0.8,"🟢",IF(C22/B22&lt;=1,"🟡","🔴")))</f>
        <v/>
      </c>
    </row>
    <row r="23" ht="18" customHeight="1">
      <c r="A23" s="4" t="inlineStr">
        <is>
          <t>Loisirs</t>
        </is>
      </c>
      <c r="B23" s="5" t="n"/>
      <c r="C23" s="5" t="n"/>
      <c r="D23" s="6">
        <f>B23-C23</f>
        <v/>
      </c>
      <c r="E23" s="7">
        <f>IF(B23=0,"—",C23/B23)</f>
        <v/>
      </c>
      <c r="F23" s="8">
        <f>IF(B23=0,"",REPT("▓",MIN(20,INT(C23/B23*20)))&amp;REPT("░",MAX(0,20-MIN(20,INT(C23/B23*20)))))</f>
        <v/>
      </c>
      <c r="G23" s="9">
        <f>IF(C23="","⬜",IF(C23/B23&lt;0.8,"🟢",IF(C23/B23&lt;=1,"🟡","🔴")))</f>
        <v/>
      </c>
    </row>
    <row r="24" ht="18" customHeight="1">
      <c r="A24" s="4" t="inlineStr">
        <is>
          <t>Shopping</t>
        </is>
      </c>
      <c r="B24" s="5" t="n"/>
      <c r="C24" s="5" t="n"/>
      <c r="D24" s="6">
        <f>B24-C24</f>
        <v/>
      </c>
      <c r="E24" s="7">
        <f>IF(B24=0,"—",C24/B24)</f>
        <v/>
      </c>
      <c r="F24" s="8">
        <f>IF(B24=0,"",REPT("▓",MIN(20,INT(C24/B24*20)))&amp;REPT("░",MAX(0,20-MIN(20,INT(C24/B24*20)))))</f>
        <v/>
      </c>
      <c r="G24" s="9">
        <f>IF(C24="","⬜",IF(C24/B24&lt;0.8,"🟢",IF(C24/B24&lt;=1,"🟡","🔴")))</f>
        <v/>
      </c>
    </row>
    <row r="25" ht="18" customHeight="1">
      <c r="A25" s="4" t="inlineStr">
        <is>
          <t>Restaurant</t>
        </is>
      </c>
      <c r="B25" s="5" t="n"/>
      <c r="C25" s="5" t="n"/>
      <c r="D25" s="6">
        <f>B25-C25</f>
        <v/>
      </c>
      <c r="E25" s="7">
        <f>IF(B25=0,"—",C25/B25)</f>
        <v/>
      </c>
      <c r="F25" s="8">
        <f>IF(B25=0,"",REPT("▓",MIN(20,INT(C25/B25*20)))&amp;REPT("░",MAX(0,20-MIN(20,INT(C25/B25*20)))))</f>
        <v/>
      </c>
      <c r="G25" s="9">
        <f>IF(C25="","⬜",IF(C25/B25&lt;0.8,"🟢",IF(C25/B25&lt;=1,"🟡","🔴")))</f>
        <v/>
      </c>
    </row>
    <row r="26" ht="18" customHeight="1">
      <c r="A26" s="4" t="inlineStr">
        <is>
          <t>Beauté</t>
        </is>
      </c>
      <c r="B26" s="5" t="n"/>
      <c r="C26" s="5" t="n"/>
      <c r="D26" s="6">
        <f>B26-C26</f>
        <v/>
      </c>
      <c r="E26" s="7">
        <f>IF(B26=0,"—",C26/B26)</f>
        <v/>
      </c>
      <c r="F26" s="8">
        <f>IF(B26=0,"",REPT("▓",MIN(20,INT(C26/B26*20)))&amp;REPT("░",MAX(0,20-MIN(20,INT(C26/B26*20)))))</f>
        <v/>
      </c>
      <c r="G26" s="9">
        <f>IF(C26="","⬜",IF(C26/B26&lt;0.8,"🟢",IF(C26/B26&lt;=1,"🟡","🔴")))</f>
        <v/>
      </c>
    </row>
    <row r="27" ht="18" customHeight="1">
      <c r="A27" s="4" t="inlineStr">
        <is>
          <t>Autre</t>
        </is>
      </c>
      <c r="B27" s="5" t="n"/>
      <c r="C27" s="5" t="n"/>
      <c r="D27" s="6">
        <f>B27-C27</f>
        <v/>
      </c>
      <c r="E27" s="7">
        <f>IF(B27=0,"—",C27/B27)</f>
        <v/>
      </c>
      <c r="F27" s="8">
        <f>IF(B27=0,"",REPT("▓",MIN(20,INT(C27/B27*20)))&amp;REPT("░",MAX(0,20-MIN(20,INT(C27/B27*20)))))</f>
        <v/>
      </c>
      <c r="G27" s="9">
        <f>IF(C27="","⬜",IF(C27/B27&lt;0.8,"🟢",IF(C27/B27&lt;=1,"🟡","🔴")))</f>
        <v/>
      </c>
    </row>
    <row r="28" ht="20" customHeight="1">
      <c r="A28" s="10" t="inlineStr">
        <is>
          <t>TOTAL</t>
        </is>
      </c>
      <c r="B28" s="11">
        <f>SUM(B20:B27)</f>
        <v/>
      </c>
      <c r="C28" s="11">
        <f>SUM(C20:C27)</f>
        <v/>
      </c>
      <c r="D28" s="11">
        <f>B28-C28</f>
        <v/>
      </c>
      <c r="E28" s="12">
        <f>IF(B28=0,"—",C28/B28)</f>
        <v/>
      </c>
      <c r="F28" s="13" t="n"/>
      <c r="G28" s="13" t="n"/>
    </row>
    <row r="29" ht="8" customHeight="1">
      <c r="A29" s="14" t="n"/>
      <c r="B29" s="14" t="n"/>
      <c r="C29" s="14" t="n"/>
      <c r="D29" s="14" t="n"/>
      <c r="E29" s="14" t="n"/>
      <c r="F29" s="14" t="n"/>
      <c r="G29" s="14" t="n"/>
    </row>
    <row r="30" ht="22" customHeight="1">
      <c r="A30" s="2" t="inlineStr">
        <is>
          <t>💳 CRÉDITS</t>
        </is>
      </c>
    </row>
    <row r="31" ht="18" customHeight="1">
      <c r="A31" s="3" t="inlineStr">
        <is>
          <t>Catégorie</t>
        </is>
      </c>
      <c r="B31" s="3" t="inlineStr">
        <is>
          <t>Budget Prévu</t>
        </is>
      </c>
      <c r="C31" s="3" t="inlineStr">
        <is>
          <t>Réel</t>
        </is>
      </c>
      <c r="D31" s="3" t="inlineStr">
        <is>
          <t>Écart</t>
        </is>
      </c>
      <c r="E31" s="3" t="inlineStr">
        <is>
          <t>%</t>
        </is>
      </c>
      <c r="F31" s="3" t="inlineStr">
        <is>
          <t>Progression</t>
        </is>
      </c>
      <c r="G31" s="3" t="inlineStr">
        <is>
          <t>✓</t>
        </is>
      </c>
    </row>
    <row r="32" ht="18" customHeight="1">
      <c r="A32" s="4" t="inlineStr">
        <is>
          <t>Crédit auto</t>
        </is>
      </c>
      <c r="B32" s="5" t="n"/>
      <c r="C32" s="5" t="n"/>
      <c r="D32" s="6">
        <f>B32-C32</f>
        <v/>
      </c>
      <c r="E32" s="7">
        <f>IF(B32=0,"—",C32/B32)</f>
        <v/>
      </c>
      <c r="F32" s="8">
        <f>IF(B32=0,"",REPT("▓",MIN(20,INT(C32/B32*20)))&amp;REPT("░",MAX(0,20-MIN(20,INT(C32/B32*20)))))</f>
        <v/>
      </c>
      <c r="G32" s="9">
        <f>IF(C32="","⬜",IF(C32/B32&lt;0.8,"🟢",IF(C32/B32&lt;=1,"🟡","🔴")))</f>
        <v/>
      </c>
    </row>
    <row r="33" ht="18" customHeight="1">
      <c r="A33" s="4" t="inlineStr">
        <is>
          <t>Crédit conso</t>
        </is>
      </c>
      <c r="B33" s="5" t="n"/>
      <c r="C33" s="5" t="n"/>
      <c r="D33" s="6">
        <f>B33-C33</f>
        <v/>
      </c>
      <c r="E33" s="7">
        <f>IF(B33=0,"—",C33/B33)</f>
        <v/>
      </c>
      <c r="F33" s="8">
        <f>IF(B33=0,"",REPT("▓",MIN(20,INT(C33/B33*20)))&amp;REPT("░",MAX(0,20-MIN(20,INT(C33/B33*20)))))</f>
        <v/>
      </c>
      <c r="G33" s="9">
        <f>IF(C33="","⬜",IF(C33/B33&lt;0.8,"🟢",IF(C33/B33&lt;=1,"🟡","🔴")))</f>
        <v/>
      </c>
    </row>
    <row r="34" ht="18" customHeight="1">
      <c r="A34" s="4" t="inlineStr">
        <is>
          <t>Autre crédit</t>
        </is>
      </c>
      <c r="B34" s="5" t="n"/>
      <c r="C34" s="5" t="n"/>
      <c r="D34" s="6">
        <f>B34-C34</f>
        <v/>
      </c>
      <c r="E34" s="7">
        <f>IF(B34=0,"—",C34/B34)</f>
        <v/>
      </c>
      <c r="F34" s="8">
        <f>IF(B34=0,"",REPT("▓",MIN(20,INT(C34/B34*20)))&amp;REPT("░",MAX(0,20-MIN(20,INT(C34/B34*20)))))</f>
        <v/>
      </c>
      <c r="G34" s="9">
        <f>IF(C34="","⬜",IF(C34/B34&lt;0.8,"🟢",IF(C34/B34&lt;=1,"🟡","🔴")))</f>
        <v/>
      </c>
    </row>
    <row r="35" ht="20" customHeight="1">
      <c r="A35" s="10" t="inlineStr">
        <is>
          <t>TOTAL</t>
        </is>
      </c>
      <c r="B35" s="11">
        <f>SUM(B32:B34)</f>
        <v/>
      </c>
      <c r="C35" s="11">
        <f>SUM(C32:C34)</f>
        <v/>
      </c>
      <c r="D35" s="11">
        <f>B35-C35</f>
        <v/>
      </c>
      <c r="E35" s="12">
        <f>IF(B35=0,"—",C35/B35)</f>
        <v/>
      </c>
      <c r="F35" s="13" t="n"/>
      <c r="G35" s="13" t="n"/>
    </row>
    <row r="36" ht="8" customHeight="1">
      <c r="A36" s="14" t="n"/>
      <c r="B36" s="14" t="n"/>
      <c r="C36" s="14" t="n"/>
      <c r="D36" s="14" t="n"/>
      <c r="E36" s="14" t="n"/>
      <c r="F36" s="14" t="n"/>
      <c r="G36" s="14" t="n"/>
    </row>
    <row r="37" ht="22" customHeight="1">
      <c r="A37" s="2" t="inlineStr">
        <is>
          <t>🏦 ÉPARGNE</t>
        </is>
      </c>
    </row>
    <row r="38" ht="18" customHeight="1">
      <c r="A38" s="3" t="inlineStr">
        <is>
          <t>Catégorie</t>
        </is>
      </c>
      <c r="B38" s="3" t="inlineStr">
        <is>
          <t>Budget Prévu</t>
        </is>
      </c>
      <c r="C38" s="3" t="inlineStr">
        <is>
          <t>Réel</t>
        </is>
      </c>
      <c r="D38" s="3" t="inlineStr">
        <is>
          <t>Écart</t>
        </is>
      </c>
      <c r="E38" s="3" t="inlineStr">
        <is>
          <t>%</t>
        </is>
      </c>
      <c r="F38" s="3" t="inlineStr">
        <is>
          <t>Progression</t>
        </is>
      </c>
      <c r="G38" s="3" t="inlineStr">
        <is>
          <t>✓</t>
        </is>
      </c>
    </row>
    <row r="39" ht="18" customHeight="1">
      <c r="A39" s="4" t="inlineStr">
        <is>
          <t>Livret A</t>
        </is>
      </c>
      <c r="B39" s="5" t="n"/>
      <c r="C39" s="5" t="n"/>
      <c r="D39" s="6">
        <f>B39-C39</f>
        <v/>
      </c>
      <c r="E39" s="7">
        <f>IF(B39=0,"—",C39/B39)</f>
        <v/>
      </c>
      <c r="F39" s="8">
        <f>IF(B39=0,"",REPT("▓",MIN(20,INT(C39/B39*20)))&amp;REPT("░",MAX(0,20-MIN(20,INT(C39/B39*20)))))</f>
        <v/>
      </c>
      <c r="G39" s="9">
        <f>IF(C39="","⬜",IF(C39/B39&lt;0.8,"🟢",IF(C39/B39&lt;=1,"🟡","🔴")))</f>
        <v/>
      </c>
    </row>
    <row r="40" ht="18" customHeight="1">
      <c r="A40" s="4" t="inlineStr">
        <is>
          <t>PEL</t>
        </is>
      </c>
      <c r="B40" s="5" t="n"/>
      <c r="C40" s="5" t="n"/>
      <c r="D40" s="6">
        <f>B40-C40</f>
        <v/>
      </c>
      <c r="E40" s="7">
        <f>IF(B40=0,"—",C40/B40)</f>
        <v/>
      </c>
      <c r="F40" s="8">
        <f>IF(B40=0,"",REPT("▓",MIN(20,INT(C40/B40*20)))&amp;REPT("░",MAX(0,20-MIN(20,INT(C40/B40*20)))))</f>
        <v/>
      </c>
      <c r="G40" s="9">
        <f>IF(C40="","⬜",IF(C40/B40&lt;0.8,"🟢",IF(C40/B40&lt;=1,"🟡","🔴")))</f>
        <v/>
      </c>
    </row>
    <row r="41" ht="18" customHeight="1">
      <c r="A41" s="4" t="inlineStr">
        <is>
          <t>Assurance-vie</t>
        </is>
      </c>
      <c r="B41" s="5" t="n"/>
      <c r="C41" s="5" t="n"/>
      <c r="D41" s="6">
        <f>B41-C41</f>
        <v/>
      </c>
      <c r="E41" s="7">
        <f>IF(B41=0,"—",C41/B41)</f>
        <v/>
      </c>
      <c r="F41" s="8">
        <f>IF(B41=0,"",REPT("▓",MIN(20,INT(C41/B41*20)))&amp;REPT("░",MAX(0,20-MIN(20,INT(C41/B41*20)))))</f>
        <v/>
      </c>
      <c r="G41" s="9">
        <f>IF(C41="","⬜",IF(C41/B41&lt;0.8,"🟢",IF(C41/B41&lt;=1,"🟡","🔴")))</f>
        <v/>
      </c>
    </row>
    <row r="42" ht="18" customHeight="1">
      <c r="A42" s="4" t="inlineStr">
        <is>
          <t>Investissements</t>
        </is>
      </c>
      <c r="B42" s="5" t="n"/>
      <c r="C42" s="5" t="n"/>
      <c r="D42" s="6">
        <f>B42-C42</f>
        <v/>
      </c>
      <c r="E42" s="7">
        <f>IF(B42=0,"—",C42/B42)</f>
        <v/>
      </c>
      <c r="F42" s="8">
        <f>IF(B42=0,"",REPT("▓",MIN(20,INT(C42/B42*20)))&amp;REPT("░",MAX(0,20-MIN(20,INT(C42/B42*20)))))</f>
        <v/>
      </c>
      <c r="G42" s="9">
        <f>IF(C42="","⬜",IF(C42/B42&lt;0.8,"🟢",IF(C42/B42&lt;=1,"🟡","🔴")))</f>
        <v/>
      </c>
    </row>
    <row r="43" ht="20" customHeight="1">
      <c r="A43" s="10" t="inlineStr">
        <is>
          <t>TOTAL</t>
        </is>
      </c>
      <c r="B43" s="11">
        <f>SUM(B39:B42)</f>
        <v/>
      </c>
      <c r="C43" s="11">
        <f>SUM(C39:C42)</f>
        <v/>
      </c>
      <c r="D43" s="11">
        <f>B43-C43</f>
        <v/>
      </c>
      <c r="E43" s="12">
        <f>IF(B43=0,"—",C43/B43)</f>
        <v/>
      </c>
      <c r="F43" s="13" t="n"/>
      <c r="G43" s="13" t="n"/>
    </row>
    <row r="44" ht="8" customHeight="1">
      <c r="A44" s="14" t="n"/>
      <c r="B44" s="14" t="n"/>
      <c r="C44" s="14" t="n"/>
      <c r="D44" s="14" t="n"/>
      <c r="E44" s="14" t="n"/>
      <c r="F44" s="14" t="n"/>
      <c r="G44" s="14" t="n"/>
    </row>
    <row r="46" ht="22" customHeight="1">
      <c r="A46" s="15" t="inlineStr">
        <is>
          <t>Total Revenus</t>
        </is>
      </c>
      <c r="B46" s="13" t="n"/>
      <c r="C46" s="16">
        <f>C8</f>
        <v/>
      </c>
      <c r="D46" s="13" t="n"/>
      <c r="E46" s="13" t="n"/>
      <c r="F46" s="13" t="n"/>
      <c r="G46" s="13" t="n"/>
    </row>
    <row r="47" ht="22" customHeight="1">
      <c r="A47" s="15" t="inlineStr">
        <is>
          <t>Total Dépenses</t>
        </is>
      </c>
      <c r="B47" s="13" t="n"/>
      <c r="C47" s="16">
        <f>C16+C28+C35</f>
        <v/>
      </c>
      <c r="D47" s="13" t="n"/>
      <c r="E47" s="13" t="n"/>
      <c r="F47" s="13" t="n"/>
      <c r="G47" s="13" t="n"/>
    </row>
    <row r="48" ht="22" customHeight="1">
      <c r="A48" s="17" t="inlineStr">
        <is>
          <t>Solde du mois</t>
        </is>
      </c>
      <c r="B48" s="18" t="n"/>
      <c r="C48" s="19">
        <f>C46-C47</f>
        <v/>
      </c>
      <c r="D48" s="18" t="n"/>
      <c r="E48" s="18" t="n"/>
      <c r="F48" s="18" t="n"/>
      <c r="G48" s="18" t="n"/>
    </row>
    <row r="49" ht="22" customHeight="1">
      <c r="A49" s="17" t="inlineStr">
        <is>
          <t>Taux d'épargne</t>
        </is>
      </c>
      <c r="B49" s="18" t="n"/>
      <c r="C49" s="20">
        <f>IF(C46=0,"—",C48/C46)</f>
        <v/>
      </c>
      <c r="D49" s="18" t="n"/>
      <c r="E49" s="18" t="n"/>
      <c r="F49" s="18" t="n"/>
      <c r="G49" s="18" t="n"/>
    </row>
    <row r="50" ht="22" customHeight="1">
      <c r="A50" s="15" t="inlineStr">
        <is>
          <t>Objectif Épargne</t>
        </is>
      </c>
      <c r="B50" s="13" t="n"/>
      <c r="C50" s="21" t="n"/>
      <c r="D50" s="13" t="n"/>
      <c r="E50" s="13" t="n"/>
      <c r="F50" s="13" t="n"/>
      <c r="G50" s="13" t="n"/>
    </row>
  </sheetData>
  <mergeCells count="6">
    <mergeCell ref="A1:G1"/>
    <mergeCell ref="A18:G18"/>
    <mergeCell ref="A30:G30"/>
    <mergeCell ref="A2:G2"/>
    <mergeCell ref="A10:G10"/>
    <mergeCell ref="A37:G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3460"/>
    <outlinePr summaryBelow="1" summaryRight="1"/>
    <pageSetUpPr/>
  </sheetPr>
  <dimension ref="A1:G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0" customWidth="1" min="5" max="5"/>
    <col width="22" customWidth="1" min="6" max="6"/>
    <col width="6" customWidth="1" min="7" max="7"/>
  </cols>
  <sheetData>
    <row r="1" ht="36" customHeight="1">
      <c r="A1" s="1" t="inlineStr">
        <is>
          <t>📅 AVRIL</t>
        </is>
      </c>
    </row>
    <row r="2" ht="22" customHeight="1">
      <c r="A2" s="2" t="inlineStr">
        <is>
          <t>💰 REVENUS</t>
        </is>
      </c>
    </row>
    <row r="3" ht="18" customHeight="1">
      <c r="A3" s="3" t="inlineStr">
        <is>
          <t>Catégorie</t>
        </is>
      </c>
      <c r="B3" s="3" t="inlineStr">
        <is>
          <t>Budget Prévu</t>
        </is>
      </c>
      <c r="C3" s="3" t="inlineStr">
        <is>
          <t>Réel</t>
        </is>
      </c>
      <c r="D3" s="3" t="inlineStr">
        <is>
          <t>Écart</t>
        </is>
      </c>
      <c r="E3" s="3" t="inlineStr">
        <is>
          <t>%</t>
        </is>
      </c>
      <c r="F3" s="3" t="inlineStr">
        <is>
          <t>Progression</t>
        </is>
      </c>
      <c r="G3" s="3" t="inlineStr">
        <is>
          <t>✓</t>
        </is>
      </c>
    </row>
    <row r="4" ht="18" customHeight="1">
      <c r="A4" s="4" t="inlineStr">
        <is>
          <t>Salaire</t>
        </is>
      </c>
      <c r="B4" s="5" t="n"/>
      <c r="C4" s="5" t="n"/>
      <c r="D4" s="6">
        <f>B4-C4</f>
        <v/>
      </c>
      <c r="E4" s="7">
        <f>IF(B4=0,"—",C4/B4)</f>
        <v/>
      </c>
      <c r="F4" s="8">
        <f>IF(B4=0,"",REPT("▓",MIN(20,INT(C4/B4*20)))&amp;REPT("░",MAX(0,20-MIN(20,INT(C4/B4*20)))))</f>
        <v/>
      </c>
      <c r="G4" s="9">
        <f>IF(C4="","⬜",IF(C4/B4&lt;0.8,"🟢",IF(C4/B4&lt;=1,"🟡","🔴")))</f>
        <v/>
      </c>
    </row>
    <row r="5" ht="18" customHeight="1">
      <c r="A5" s="4" t="inlineStr">
        <is>
          <t>Freelance</t>
        </is>
      </c>
      <c r="B5" s="5" t="n"/>
      <c r="C5" s="5" t="n"/>
      <c r="D5" s="6">
        <f>B5-C5</f>
        <v/>
      </c>
      <c r="E5" s="7">
        <f>IF(B5=0,"—",C5/B5)</f>
        <v/>
      </c>
      <c r="F5" s="8">
        <f>IF(B5=0,"",REPT("▓",MIN(20,INT(C5/B5*20)))&amp;REPT("░",MAX(0,20-MIN(20,INT(C5/B5*20)))))</f>
        <v/>
      </c>
      <c r="G5" s="9">
        <f>IF(C5="","⬜",IF(C5/B5&lt;0.8,"🟢",IF(C5/B5&lt;=1,"🟡","🔴")))</f>
        <v/>
      </c>
    </row>
    <row r="6" ht="18" customHeight="1">
      <c r="A6" s="4" t="inlineStr">
        <is>
          <t>Aides/APL</t>
        </is>
      </c>
      <c r="B6" s="5" t="n"/>
      <c r="C6" s="5" t="n"/>
      <c r="D6" s="6">
        <f>B6-C6</f>
        <v/>
      </c>
      <c r="E6" s="7">
        <f>IF(B6=0,"—",C6/B6)</f>
        <v/>
      </c>
      <c r="F6" s="8">
        <f>IF(B6=0,"",REPT("▓",MIN(20,INT(C6/B6*20)))&amp;REPT("░",MAX(0,20-MIN(20,INT(C6/B6*20)))))</f>
        <v/>
      </c>
      <c r="G6" s="9">
        <f>IF(C6="","⬜",IF(C6/B6&lt;0.8,"🟢",IF(C6/B6&lt;=1,"🟡","🔴")))</f>
        <v/>
      </c>
    </row>
    <row r="7" ht="18" customHeight="1">
      <c r="A7" s="4" t="inlineStr">
        <is>
          <t>Autres revenus</t>
        </is>
      </c>
      <c r="B7" s="5" t="n"/>
      <c r="C7" s="5" t="n"/>
      <c r="D7" s="6">
        <f>B7-C7</f>
        <v/>
      </c>
      <c r="E7" s="7">
        <f>IF(B7=0,"—",C7/B7)</f>
        <v/>
      </c>
      <c r="F7" s="8">
        <f>IF(B7=0,"",REPT("▓",MIN(20,INT(C7/B7*20)))&amp;REPT("░",MAX(0,20-MIN(20,INT(C7/B7*20)))))</f>
        <v/>
      </c>
      <c r="G7" s="9">
        <f>IF(C7="","⬜",IF(C7/B7&lt;0.8,"🟢",IF(C7/B7&lt;=1,"🟡","🔴")))</f>
        <v/>
      </c>
    </row>
    <row r="8" ht="20" customHeight="1">
      <c r="A8" s="10" t="inlineStr">
        <is>
          <t>TOTAL</t>
        </is>
      </c>
      <c r="B8" s="11">
        <f>SUM(B4:B7)</f>
        <v/>
      </c>
      <c r="C8" s="11">
        <f>SUM(C4:C7)</f>
        <v/>
      </c>
      <c r="D8" s="11">
        <f>B8-C8</f>
        <v/>
      </c>
      <c r="E8" s="12">
        <f>IF(B8=0,"—",C8/B8)</f>
        <v/>
      </c>
      <c r="F8" s="13" t="n"/>
      <c r="G8" s="13" t="n"/>
    </row>
    <row r="9" ht="8" customHeight="1">
      <c r="A9" s="14" t="n"/>
      <c r="B9" s="14" t="n"/>
      <c r="C9" s="14" t="n"/>
      <c r="D9" s="14" t="n"/>
      <c r="E9" s="14" t="n"/>
      <c r="F9" s="14" t="n"/>
      <c r="G9" s="14" t="n"/>
    </row>
    <row r="10" ht="22" customHeight="1">
      <c r="A10" s="2" t="inlineStr">
        <is>
          <t>🏠 DÉPENSES FIXES</t>
        </is>
      </c>
    </row>
    <row r="11" ht="18" customHeight="1">
      <c r="A11" s="3" t="inlineStr">
        <is>
          <t>Catégorie</t>
        </is>
      </c>
      <c r="B11" s="3" t="inlineStr">
        <is>
          <t>Budget Prévu</t>
        </is>
      </c>
      <c r="C11" s="3" t="inlineStr">
        <is>
          <t>Réel</t>
        </is>
      </c>
      <c r="D11" s="3" t="inlineStr">
        <is>
          <t>Écart</t>
        </is>
      </c>
      <c r="E11" s="3" t="inlineStr">
        <is>
          <t>%</t>
        </is>
      </c>
      <c r="F11" s="3" t="inlineStr">
        <is>
          <t>Progression</t>
        </is>
      </c>
      <c r="G11" s="3" t="inlineStr">
        <is>
          <t>✓</t>
        </is>
      </c>
    </row>
    <row r="12" ht="18" customHeight="1">
      <c r="A12" s="4" t="inlineStr">
        <is>
          <t>Loyer/Crédit</t>
        </is>
      </c>
      <c r="B12" s="5" t="n"/>
      <c r="C12" s="5" t="n"/>
      <c r="D12" s="6">
        <f>B12-C12</f>
        <v/>
      </c>
      <c r="E12" s="7">
        <f>IF(B12=0,"—",C12/B12)</f>
        <v/>
      </c>
      <c r="F12" s="8">
        <f>IF(B12=0,"",REPT("▓",MIN(20,INT(C12/B12*20)))&amp;REPT("░",MAX(0,20-MIN(20,INT(C12/B12*20)))))</f>
        <v/>
      </c>
      <c r="G12" s="9">
        <f>IF(C12="","⬜",IF(C12/B12&lt;0.8,"🟢",IF(C12/B12&lt;=1,"🟡","🔴")))</f>
        <v/>
      </c>
    </row>
    <row r="13" ht="18" customHeight="1">
      <c r="A13" s="4" t="inlineStr">
        <is>
          <t>Assurances</t>
        </is>
      </c>
      <c r="B13" s="5" t="n"/>
      <c r="C13" s="5" t="n"/>
      <c r="D13" s="6">
        <f>B13-C13</f>
        <v/>
      </c>
      <c r="E13" s="7">
        <f>IF(B13=0,"—",C13/B13)</f>
        <v/>
      </c>
      <c r="F13" s="8">
        <f>IF(B13=0,"",REPT("▓",MIN(20,INT(C13/B13*20)))&amp;REPT("░",MAX(0,20-MIN(20,INT(C13/B13*20)))))</f>
        <v/>
      </c>
      <c r="G13" s="9">
        <f>IF(C13="","⬜",IF(C13/B13&lt;0.8,"🟢",IF(C13/B13&lt;=1,"🟡","🔴")))</f>
        <v/>
      </c>
    </row>
    <row r="14" ht="18" customHeight="1">
      <c r="A14" s="4" t="inlineStr">
        <is>
          <t>Abonnements</t>
        </is>
      </c>
      <c r="B14" s="5" t="n"/>
      <c r="C14" s="5" t="n"/>
      <c r="D14" s="6">
        <f>B14-C14</f>
        <v/>
      </c>
      <c r="E14" s="7">
        <f>IF(B14=0,"—",C14/B14)</f>
        <v/>
      </c>
      <c r="F14" s="8">
        <f>IF(B14=0,"",REPT("▓",MIN(20,INT(C14/B14*20)))&amp;REPT("░",MAX(0,20-MIN(20,INT(C14/B14*20)))))</f>
        <v/>
      </c>
      <c r="G14" s="9">
        <f>IF(C14="","⬜",IF(C14/B14&lt;0.8,"🟢",IF(C14/B14&lt;=1,"🟡","🔴")))</f>
        <v/>
      </c>
    </row>
    <row r="15" ht="18" customHeight="1">
      <c r="A15" s="4" t="inlineStr">
        <is>
          <t>Téléphone/Internet</t>
        </is>
      </c>
      <c r="B15" s="5" t="n"/>
      <c r="C15" s="5" t="n"/>
      <c r="D15" s="6">
        <f>B15-C15</f>
        <v/>
      </c>
      <c r="E15" s="7">
        <f>IF(B15=0,"—",C15/B15)</f>
        <v/>
      </c>
      <c r="F15" s="8">
        <f>IF(B15=0,"",REPT("▓",MIN(20,INT(C15/B15*20)))&amp;REPT("░",MAX(0,20-MIN(20,INT(C15/B15*20)))))</f>
        <v/>
      </c>
      <c r="G15" s="9">
        <f>IF(C15="","⬜",IF(C15/B15&lt;0.8,"🟢",IF(C15/B15&lt;=1,"🟡","🔴")))</f>
        <v/>
      </c>
    </row>
    <row r="16" ht="20" customHeight="1">
      <c r="A16" s="10" t="inlineStr">
        <is>
          <t>TOTAL</t>
        </is>
      </c>
      <c r="B16" s="11">
        <f>SUM(B12:B15)</f>
        <v/>
      </c>
      <c r="C16" s="11">
        <f>SUM(C12:C15)</f>
        <v/>
      </c>
      <c r="D16" s="11">
        <f>B16-C16</f>
        <v/>
      </c>
      <c r="E16" s="12">
        <f>IF(B16=0,"—",C16/B16)</f>
        <v/>
      </c>
      <c r="F16" s="13" t="n"/>
      <c r="G16" s="13" t="n"/>
    </row>
    <row r="17" ht="8" customHeight="1">
      <c r="A17" s="14" t="n"/>
      <c r="B17" s="14" t="n"/>
      <c r="C17" s="14" t="n"/>
      <c r="D17" s="14" t="n"/>
      <c r="E17" s="14" t="n"/>
      <c r="F17" s="14" t="n"/>
      <c r="G17" s="14" t="n"/>
    </row>
    <row r="18" ht="22" customHeight="1">
      <c r="A18" s="2" t="inlineStr">
        <is>
          <t>🛒 DÉPENSES VARIABLES</t>
        </is>
      </c>
    </row>
    <row r="19" ht="18" customHeight="1">
      <c r="A19" s="3" t="inlineStr">
        <is>
          <t>Catégorie</t>
        </is>
      </c>
      <c r="B19" s="3" t="inlineStr">
        <is>
          <t>Budget Prévu</t>
        </is>
      </c>
      <c r="C19" s="3" t="inlineStr">
        <is>
          <t>Réel</t>
        </is>
      </c>
      <c r="D19" s="3" t="inlineStr">
        <is>
          <t>Écart</t>
        </is>
      </c>
      <c r="E19" s="3" t="inlineStr">
        <is>
          <t>%</t>
        </is>
      </c>
      <c r="F19" s="3" t="inlineStr">
        <is>
          <t>Progression</t>
        </is>
      </c>
      <c r="G19" s="3" t="inlineStr">
        <is>
          <t>✓</t>
        </is>
      </c>
    </row>
    <row r="20" ht="18" customHeight="1">
      <c r="A20" s="4" t="inlineStr">
        <is>
          <t>Alimentation</t>
        </is>
      </c>
      <c r="B20" s="5" t="n"/>
      <c r="C20" s="5" t="n"/>
      <c r="D20" s="6">
        <f>B20-C20</f>
        <v/>
      </c>
      <c r="E20" s="7">
        <f>IF(B20=0,"—",C20/B20)</f>
        <v/>
      </c>
      <c r="F20" s="8">
        <f>IF(B20=0,"",REPT("▓",MIN(20,INT(C20/B20*20)))&amp;REPT("░",MAX(0,20-MIN(20,INT(C20/B20*20)))))</f>
        <v/>
      </c>
      <c r="G20" s="9">
        <f>IF(C20="","⬜",IF(C20/B20&lt;0.8,"🟢",IF(C20/B20&lt;=1,"🟡","🔴")))</f>
        <v/>
      </c>
    </row>
    <row r="21" ht="18" customHeight="1">
      <c r="A21" s="4" t="inlineStr">
        <is>
          <t>Transport</t>
        </is>
      </c>
      <c r="B21" s="5" t="n"/>
      <c r="C21" s="5" t="n"/>
      <c r="D21" s="6">
        <f>B21-C21</f>
        <v/>
      </c>
      <c r="E21" s="7">
        <f>IF(B21=0,"—",C21/B21)</f>
        <v/>
      </c>
      <c r="F21" s="8">
        <f>IF(B21=0,"",REPT("▓",MIN(20,INT(C21/B21*20)))&amp;REPT("░",MAX(0,20-MIN(20,INT(C21/B21*20)))))</f>
        <v/>
      </c>
      <c r="G21" s="9">
        <f>IF(C21="","⬜",IF(C21/B21&lt;0.8,"🟢",IF(C21/B21&lt;=1,"🟡","🔴")))</f>
        <v/>
      </c>
    </row>
    <row r="22" ht="18" customHeight="1">
      <c r="A22" s="4" t="inlineStr">
        <is>
          <t>Santé</t>
        </is>
      </c>
      <c r="B22" s="5" t="n"/>
      <c r="C22" s="5" t="n"/>
      <c r="D22" s="6">
        <f>B22-C22</f>
        <v/>
      </c>
      <c r="E22" s="7">
        <f>IF(B22=0,"—",C22/B22)</f>
        <v/>
      </c>
      <c r="F22" s="8">
        <f>IF(B22=0,"",REPT("▓",MIN(20,INT(C22/B22*20)))&amp;REPT("░",MAX(0,20-MIN(20,INT(C22/B22*20)))))</f>
        <v/>
      </c>
      <c r="G22" s="9">
        <f>IF(C22="","⬜",IF(C22/B22&lt;0.8,"🟢",IF(C22/B22&lt;=1,"🟡","🔴")))</f>
        <v/>
      </c>
    </row>
    <row r="23" ht="18" customHeight="1">
      <c r="A23" s="4" t="inlineStr">
        <is>
          <t>Loisirs</t>
        </is>
      </c>
      <c r="B23" s="5" t="n"/>
      <c r="C23" s="5" t="n"/>
      <c r="D23" s="6">
        <f>B23-C23</f>
        <v/>
      </c>
      <c r="E23" s="7">
        <f>IF(B23=0,"—",C23/B23)</f>
        <v/>
      </c>
      <c r="F23" s="8">
        <f>IF(B23=0,"",REPT("▓",MIN(20,INT(C23/B23*20)))&amp;REPT("░",MAX(0,20-MIN(20,INT(C23/B23*20)))))</f>
        <v/>
      </c>
      <c r="G23" s="9">
        <f>IF(C23="","⬜",IF(C23/B23&lt;0.8,"🟢",IF(C23/B23&lt;=1,"🟡","🔴")))</f>
        <v/>
      </c>
    </row>
    <row r="24" ht="18" customHeight="1">
      <c r="A24" s="4" t="inlineStr">
        <is>
          <t>Shopping</t>
        </is>
      </c>
      <c r="B24" s="5" t="n"/>
      <c r="C24" s="5" t="n"/>
      <c r="D24" s="6">
        <f>B24-C24</f>
        <v/>
      </c>
      <c r="E24" s="7">
        <f>IF(B24=0,"—",C24/B24)</f>
        <v/>
      </c>
      <c r="F24" s="8">
        <f>IF(B24=0,"",REPT("▓",MIN(20,INT(C24/B24*20)))&amp;REPT("░",MAX(0,20-MIN(20,INT(C24/B24*20)))))</f>
        <v/>
      </c>
      <c r="G24" s="9">
        <f>IF(C24="","⬜",IF(C24/B24&lt;0.8,"🟢",IF(C24/B24&lt;=1,"🟡","🔴")))</f>
        <v/>
      </c>
    </row>
    <row r="25" ht="18" customHeight="1">
      <c r="A25" s="4" t="inlineStr">
        <is>
          <t>Restaurant</t>
        </is>
      </c>
      <c r="B25" s="5" t="n"/>
      <c r="C25" s="5" t="n"/>
      <c r="D25" s="6">
        <f>B25-C25</f>
        <v/>
      </c>
      <c r="E25" s="7">
        <f>IF(B25=0,"—",C25/B25)</f>
        <v/>
      </c>
      <c r="F25" s="8">
        <f>IF(B25=0,"",REPT("▓",MIN(20,INT(C25/B25*20)))&amp;REPT("░",MAX(0,20-MIN(20,INT(C25/B25*20)))))</f>
        <v/>
      </c>
      <c r="G25" s="9">
        <f>IF(C25="","⬜",IF(C25/B25&lt;0.8,"🟢",IF(C25/B25&lt;=1,"🟡","🔴")))</f>
        <v/>
      </c>
    </row>
    <row r="26" ht="18" customHeight="1">
      <c r="A26" s="4" t="inlineStr">
        <is>
          <t>Beauté</t>
        </is>
      </c>
      <c r="B26" s="5" t="n"/>
      <c r="C26" s="5" t="n"/>
      <c r="D26" s="6">
        <f>B26-C26</f>
        <v/>
      </c>
      <c r="E26" s="7">
        <f>IF(B26=0,"—",C26/B26)</f>
        <v/>
      </c>
      <c r="F26" s="8">
        <f>IF(B26=0,"",REPT("▓",MIN(20,INT(C26/B26*20)))&amp;REPT("░",MAX(0,20-MIN(20,INT(C26/B26*20)))))</f>
        <v/>
      </c>
      <c r="G26" s="9">
        <f>IF(C26="","⬜",IF(C26/B26&lt;0.8,"🟢",IF(C26/B26&lt;=1,"🟡","🔴")))</f>
        <v/>
      </c>
    </row>
    <row r="27" ht="18" customHeight="1">
      <c r="A27" s="4" t="inlineStr">
        <is>
          <t>Autre</t>
        </is>
      </c>
      <c r="B27" s="5" t="n"/>
      <c r="C27" s="5" t="n"/>
      <c r="D27" s="6">
        <f>B27-C27</f>
        <v/>
      </c>
      <c r="E27" s="7">
        <f>IF(B27=0,"—",C27/B27)</f>
        <v/>
      </c>
      <c r="F27" s="8">
        <f>IF(B27=0,"",REPT("▓",MIN(20,INT(C27/B27*20)))&amp;REPT("░",MAX(0,20-MIN(20,INT(C27/B27*20)))))</f>
        <v/>
      </c>
      <c r="G27" s="9">
        <f>IF(C27="","⬜",IF(C27/B27&lt;0.8,"🟢",IF(C27/B27&lt;=1,"🟡","🔴")))</f>
        <v/>
      </c>
    </row>
    <row r="28" ht="20" customHeight="1">
      <c r="A28" s="10" t="inlineStr">
        <is>
          <t>TOTAL</t>
        </is>
      </c>
      <c r="B28" s="11">
        <f>SUM(B20:B27)</f>
        <v/>
      </c>
      <c r="C28" s="11">
        <f>SUM(C20:C27)</f>
        <v/>
      </c>
      <c r="D28" s="11">
        <f>B28-C28</f>
        <v/>
      </c>
      <c r="E28" s="12">
        <f>IF(B28=0,"—",C28/B28)</f>
        <v/>
      </c>
      <c r="F28" s="13" t="n"/>
      <c r="G28" s="13" t="n"/>
    </row>
    <row r="29" ht="8" customHeight="1">
      <c r="A29" s="14" t="n"/>
      <c r="B29" s="14" t="n"/>
      <c r="C29" s="14" t="n"/>
      <c r="D29" s="14" t="n"/>
      <c r="E29" s="14" t="n"/>
      <c r="F29" s="14" t="n"/>
      <c r="G29" s="14" t="n"/>
    </row>
    <row r="30" ht="22" customHeight="1">
      <c r="A30" s="2" t="inlineStr">
        <is>
          <t>💳 CRÉDITS</t>
        </is>
      </c>
    </row>
    <row r="31" ht="18" customHeight="1">
      <c r="A31" s="3" t="inlineStr">
        <is>
          <t>Catégorie</t>
        </is>
      </c>
      <c r="B31" s="3" t="inlineStr">
        <is>
          <t>Budget Prévu</t>
        </is>
      </c>
      <c r="C31" s="3" t="inlineStr">
        <is>
          <t>Réel</t>
        </is>
      </c>
      <c r="D31" s="3" t="inlineStr">
        <is>
          <t>Écart</t>
        </is>
      </c>
      <c r="E31" s="3" t="inlineStr">
        <is>
          <t>%</t>
        </is>
      </c>
      <c r="F31" s="3" t="inlineStr">
        <is>
          <t>Progression</t>
        </is>
      </c>
      <c r="G31" s="3" t="inlineStr">
        <is>
          <t>✓</t>
        </is>
      </c>
    </row>
    <row r="32" ht="18" customHeight="1">
      <c r="A32" s="4" t="inlineStr">
        <is>
          <t>Crédit auto</t>
        </is>
      </c>
      <c r="B32" s="5" t="n"/>
      <c r="C32" s="5" t="n"/>
      <c r="D32" s="6">
        <f>B32-C32</f>
        <v/>
      </c>
      <c r="E32" s="7">
        <f>IF(B32=0,"—",C32/B32)</f>
        <v/>
      </c>
      <c r="F32" s="8">
        <f>IF(B32=0,"",REPT("▓",MIN(20,INT(C32/B32*20)))&amp;REPT("░",MAX(0,20-MIN(20,INT(C32/B32*20)))))</f>
        <v/>
      </c>
      <c r="G32" s="9">
        <f>IF(C32="","⬜",IF(C32/B32&lt;0.8,"🟢",IF(C32/B32&lt;=1,"🟡","🔴")))</f>
        <v/>
      </c>
    </row>
    <row r="33" ht="18" customHeight="1">
      <c r="A33" s="4" t="inlineStr">
        <is>
          <t>Crédit conso</t>
        </is>
      </c>
      <c r="B33" s="5" t="n"/>
      <c r="C33" s="5" t="n"/>
      <c r="D33" s="6">
        <f>B33-C33</f>
        <v/>
      </c>
      <c r="E33" s="7">
        <f>IF(B33=0,"—",C33/B33)</f>
        <v/>
      </c>
      <c r="F33" s="8">
        <f>IF(B33=0,"",REPT("▓",MIN(20,INT(C33/B33*20)))&amp;REPT("░",MAX(0,20-MIN(20,INT(C33/B33*20)))))</f>
        <v/>
      </c>
      <c r="G33" s="9">
        <f>IF(C33="","⬜",IF(C33/B33&lt;0.8,"🟢",IF(C33/B33&lt;=1,"🟡","🔴")))</f>
        <v/>
      </c>
    </row>
    <row r="34" ht="18" customHeight="1">
      <c r="A34" s="4" t="inlineStr">
        <is>
          <t>Autre crédit</t>
        </is>
      </c>
      <c r="B34" s="5" t="n"/>
      <c r="C34" s="5" t="n"/>
      <c r="D34" s="6">
        <f>B34-C34</f>
        <v/>
      </c>
      <c r="E34" s="7">
        <f>IF(B34=0,"—",C34/B34)</f>
        <v/>
      </c>
      <c r="F34" s="8">
        <f>IF(B34=0,"",REPT("▓",MIN(20,INT(C34/B34*20)))&amp;REPT("░",MAX(0,20-MIN(20,INT(C34/B34*20)))))</f>
        <v/>
      </c>
      <c r="G34" s="9">
        <f>IF(C34="","⬜",IF(C34/B34&lt;0.8,"🟢",IF(C34/B34&lt;=1,"🟡","🔴")))</f>
        <v/>
      </c>
    </row>
    <row r="35" ht="20" customHeight="1">
      <c r="A35" s="10" t="inlineStr">
        <is>
          <t>TOTAL</t>
        </is>
      </c>
      <c r="B35" s="11">
        <f>SUM(B32:B34)</f>
        <v/>
      </c>
      <c r="C35" s="11">
        <f>SUM(C32:C34)</f>
        <v/>
      </c>
      <c r="D35" s="11">
        <f>B35-C35</f>
        <v/>
      </c>
      <c r="E35" s="12">
        <f>IF(B35=0,"—",C35/B35)</f>
        <v/>
      </c>
      <c r="F35" s="13" t="n"/>
      <c r="G35" s="13" t="n"/>
    </row>
    <row r="36" ht="8" customHeight="1">
      <c r="A36" s="14" t="n"/>
      <c r="B36" s="14" t="n"/>
      <c r="C36" s="14" t="n"/>
      <c r="D36" s="14" t="n"/>
      <c r="E36" s="14" t="n"/>
      <c r="F36" s="14" t="n"/>
      <c r="G36" s="14" t="n"/>
    </row>
    <row r="37" ht="22" customHeight="1">
      <c r="A37" s="2" t="inlineStr">
        <is>
          <t>🏦 ÉPARGNE</t>
        </is>
      </c>
    </row>
    <row r="38" ht="18" customHeight="1">
      <c r="A38" s="3" t="inlineStr">
        <is>
          <t>Catégorie</t>
        </is>
      </c>
      <c r="B38" s="3" t="inlineStr">
        <is>
          <t>Budget Prévu</t>
        </is>
      </c>
      <c r="C38" s="3" t="inlineStr">
        <is>
          <t>Réel</t>
        </is>
      </c>
      <c r="D38" s="3" t="inlineStr">
        <is>
          <t>Écart</t>
        </is>
      </c>
      <c r="E38" s="3" t="inlineStr">
        <is>
          <t>%</t>
        </is>
      </c>
      <c r="F38" s="3" t="inlineStr">
        <is>
          <t>Progression</t>
        </is>
      </c>
      <c r="G38" s="3" t="inlineStr">
        <is>
          <t>✓</t>
        </is>
      </c>
    </row>
    <row r="39" ht="18" customHeight="1">
      <c r="A39" s="4" t="inlineStr">
        <is>
          <t>Livret A</t>
        </is>
      </c>
      <c r="B39" s="5" t="n"/>
      <c r="C39" s="5" t="n"/>
      <c r="D39" s="6">
        <f>B39-C39</f>
        <v/>
      </c>
      <c r="E39" s="7">
        <f>IF(B39=0,"—",C39/B39)</f>
        <v/>
      </c>
      <c r="F39" s="8">
        <f>IF(B39=0,"",REPT("▓",MIN(20,INT(C39/B39*20)))&amp;REPT("░",MAX(0,20-MIN(20,INT(C39/B39*20)))))</f>
        <v/>
      </c>
      <c r="G39" s="9">
        <f>IF(C39="","⬜",IF(C39/B39&lt;0.8,"🟢",IF(C39/B39&lt;=1,"🟡","🔴")))</f>
        <v/>
      </c>
    </row>
    <row r="40" ht="18" customHeight="1">
      <c r="A40" s="4" t="inlineStr">
        <is>
          <t>PEL</t>
        </is>
      </c>
      <c r="B40" s="5" t="n"/>
      <c r="C40" s="5" t="n"/>
      <c r="D40" s="6">
        <f>B40-C40</f>
        <v/>
      </c>
      <c r="E40" s="7">
        <f>IF(B40=0,"—",C40/B40)</f>
        <v/>
      </c>
      <c r="F40" s="8">
        <f>IF(B40=0,"",REPT("▓",MIN(20,INT(C40/B40*20)))&amp;REPT("░",MAX(0,20-MIN(20,INT(C40/B40*20)))))</f>
        <v/>
      </c>
      <c r="G40" s="9">
        <f>IF(C40="","⬜",IF(C40/B40&lt;0.8,"🟢",IF(C40/B40&lt;=1,"🟡","🔴")))</f>
        <v/>
      </c>
    </row>
    <row r="41" ht="18" customHeight="1">
      <c r="A41" s="4" t="inlineStr">
        <is>
          <t>Assurance-vie</t>
        </is>
      </c>
      <c r="B41" s="5" t="n"/>
      <c r="C41" s="5" t="n"/>
      <c r="D41" s="6">
        <f>B41-C41</f>
        <v/>
      </c>
      <c r="E41" s="7">
        <f>IF(B41=0,"—",C41/B41)</f>
        <v/>
      </c>
      <c r="F41" s="8">
        <f>IF(B41=0,"",REPT("▓",MIN(20,INT(C41/B41*20)))&amp;REPT("░",MAX(0,20-MIN(20,INT(C41/B41*20)))))</f>
        <v/>
      </c>
      <c r="G41" s="9">
        <f>IF(C41="","⬜",IF(C41/B41&lt;0.8,"🟢",IF(C41/B41&lt;=1,"🟡","🔴")))</f>
        <v/>
      </c>
    </row>
    <row r="42" ht="18" customHeight="1">
      <c r="A42" s="4" t="inlineStr">
        <is>
          <t>Investissements</t>
        </is>
      </c>
      <c r="B42" s="5" t="n"/>
      <c r="C42" s="5" t="n"/>
      <c r="D42" s="6">
        <f>B42-C42</f>
        <v/>
      </c>
      <c r="E42" s="7">
        <f>IF(B42=0,"—",C42/B42)</f>
        <v/>
      </c>
      <c r="F42" s="8">
        <f>IF(B42=0,"",REPT("▓",MIN(20,INT(C42/B42*20)))&amp;REPT("░",MAX(0,20-MIN(20,INT(C42/B42*20)))))</f>
        <v/>
      </c>
      <c r="G42" s="9">
        <f>IF(C42="","⬜",IF(C42/B42&lt;0.8,"🟢",IF(C42/B42&lt;=1,"🟡","🔴")))</f>
        <v/>
      </c>
    </row>
    <row r="43" ht="20" customHeight="1">
      <c r="A43" s="10" t="inlineStr">
        <is>
          <t>TOTAL</t>
        </is>
      </c>
      <c r="B43" s="11">
        <f>SUM(B39:B42)</f>
        <v/>
      </c>
      <c r="C43" s="11">
        <f>SUM(C39:C42)</f>
        <v/>
      </c>
      <c r="D43" s="11">
        <f>B43-C43</f>
        <v/>
      </c>
      <c r="E43" s="12">
        <f>IF(B43=0,"—",C43/B43)</f>
        <v/>
      </c>
      <c r="F43" s="13" t="n"/>
      <c r="G43" s="13" t="n"/>
    </row>
    <row r="44" ht="8" customHeight="1">
      <c r="A44" s="14" t="n"/>
      <c r="B44" s="14" t="n"/>
      <c r="C44" s="14" t="n"/>
      <c r="D44" s="14" t="n"/>
      <c r="E44" s="14" t="n"/>
      <c r="F44" s="14" t="n"/>
      <c r="G44" s="14" t="n"/>
    </row>
    <row r="46" ht="22" customHeight="1">
      <c r="A46" s="15" t="inlineStr">
        <is>
          <t>Total Revenus</t>
        </is>
      </c>
      <c r="B46" s="13" t="n"/>
      <c r="C46" s="16">
        <f>C8</f>
        <v/>
      </c>
      <c r="D46" s="13" t="n"/>
      <c r="E46" s="13" t="n"/>
      <c r="F46" s="13" t="n"/>
      <c r="G46" s="13" t="n"/>
    </row>
    <row r="47" ht="22" customHeight="1">
      <c r="A47" s="15" t="inlineStr">
        <is>
          <t>Total Dépenses</t>
        </is>
      </c>
      <c r="B47" s="13" t="n"/>
      <c r="C47" s="16">
        <f>C16+C28+C35</f>
        <v/>
      </c>
      <c r="D47" s="13" t="n"/>
      <c r="E47" s="13" t="n"/>
      <c r="F47" s="13" t="n"/>
      <c r="G47" s="13" t="n"/>
    </row>
    <row r="48" ht="22" customHeight="1">
      <c r="A48" s="17" t="inlineStr">
        <is>
          <t>Solde du mois</t>
        </is>
      </c>
      <c r="B48" s="18" t="n"/>
      <c r="C48" s="19">
        <f>C46-C47</f>
        <v/>
      </c>
      <c r="D48" s="18" t="n"/>
      <c r="E48" s="18" t="n"/>
      <c r="F48" s="18" t="n"/>
      <c r="G48" s="18" t="n"/>
    </row>
    <row r="49" ht="22" customHeight="1">
      <c r="A49" s="17" t="inlineStr">
        <is>
          <t>Taux d'épargne</t>
        </is>
      </c>
      <c r="B49" s="18" t="n"/>
      <c r="C49" s="20">
        <f>IF(C46=0,"—",C48/C46)</f>
        <v/>
      </c>
      <c r="D49" s="18" t="n"/>
      <c r="E49" s="18" t="n"/>
      <c r="F49" s="18" t="n"/>
      <c r="G49" s="18" t="n"/>
    </row>
    <row r="50" ht="22" customHeight="1">
      <c r="A50" s="15" t="inlineStr">
        <is>
          <t>Objectif Épargne</t>
        </is>
      </c>
      <c r="B50" s="13" t="n"/>
      <c r="C50" s="21" t="n"/>
      <c r="D50" s="13" t="n"/>
      <c r="E50" s="13" t="n"/>
      <c r="F50" s="13" t="n"/>
      <c r="G50" s="13" t="n"/>
    </row>
  </sheetData>
  <mergeCells count="6">
    <mergeCell ref="A1:G1"/>
    <mergeCell ref="A18:G18"/>
    <mergeCell ref="A30:G30"/>
    <mergeCell ref="A2:G2"/>
    <mergeCell ref="A10:G10"/>
    <mergeCell ref="A37:G3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3460"/>
    <outlinePr summaryBelow="1" summaryRight="1"/>
    <pageSetUpPr/>
  </sheetPr>
  <dimension ref="A1:G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0" customWidth="1" min="5" max="5"/>
    <col width="22" customWidth="1" min="6" max="6"/>
    <col width="6" customWidth="1" min="7" max="7"/>
  </cols>
  <sheetData>
    <row r="1" ht="36" customHeight="1">
      <c r="A1" s="1" t="inlineStr">
        <is>
          <t>📅 MAI</t>
        </is>
      </c>
    </row>
    <row r="2" ht="22" customHeight="1">
      <c r="A2" s="2" t="inlineStr">
        <is>
          <t>💰 REVENUS</t>
        </is>
      </c>
    </row>
    <row r="3" ht="18" customHeight="1">
      <c r="A3" s="3" t="inlineStr">
        <is>
          <t>Catégorie</t>
        </is>
      </c>
      <c r="B3" s="3" t="inlineStr">
        <is>
          <t>Budget Prévu</t>
        </is>
      </c>
      <c r="C3" s="3" t="inlineStr">
        <is>
          <t>Réel</t>
        </is>
      </c>
      <c r="D3" s="3" t="inlineStr">
        <is>
          <t>Écart</t>
        </is>
      </c>
      <c r="E3" s="3" t="inlineStr">
        <is>
          <t>%</t>
        </is>
      </c>
      <c r="F3" s="3" t="inlineStr">
        <is>
          <t>Progression</t>
        </is>
      </c>
      <c r="G3" s="3" t="inlineStr">
        <is>
          <t>✓</t>
        </is>
      </c>
    </row>
    <row r="4" ht="18" customHeight="1">
      <c r="A4" s="4" t="inlineStr">
        <is>
          <t>Salaire</t>
        </is>
      </c>
      <c r="B4" s="5" t="n"/>
      <c r="C4" s="5" t="n"/>
      <c r="D4" s="6">
        <f>B4-C4</f>
        <v/>
      </c>
      <c r="E4" s="7">
        <f>IF(B4=0,"—",C4/B4)</f>
        <v/>
      </c>
      <c r="F4" s="8">
        <f>IF(B4=0,"",REPT("▓",MIN(20,INT(C4/B4*20)))&amp;REPT("░",MAX(0,20-MIN(20,INT(C4/B4*20)))))</f>
        <v/>
      </c>
      <c r="G4" s="9">
        <f>IF(C4="","⬜",IF(C4/B4&lt;0.8,"🟢",IF(C4/B4&lt;=1,"🟡","🔴")))</f>
        <v/>
      </c>
    </row>
    <row r="5" ht="18" customHeight="1">
      <c r="A5" s="4" t="inlineStr">
        <is>
          <t>Freelance</t>
        </is>
      </c>
      <c r="B5" s="5" t="n"/>
      <c r="C5" s="5" t="n"/>
      <c r="D5" s="6">
        <f>B5-C5</f>
        <v/>
      </c>
      <c r="E5" s="7">
        <f>IF(B5=0,"—",C5/B5)</f>
        <v/>
      </c>
      <c r="F5" s="8">
        <f>IF(B5=0,"",REPT("▓",MIN(20,INT(C5/B5*20)))&amp;REPT("░",MAX(0,20-MIN(20,INT(C5/B5*20)))))</f>
        <v/>
      </c>
      <c r="G5" s="9">
        <f>IF(C5="","⬜",IF(C5/B5&lt;0.8,"🟢",IF(C5/B5&lt;=1,"🟡","🔴")))</f>
        <v/>
      </c>
    </row>
    <row r="6" ht="18" customHeight="1">
      <c r="A6" s="4" t="inlineStr">
        <is>
          <t>Aides/APL</t>
        </is>
      </c>
      <c r="B6" s="5" t="n"/>
      <c r="C6" s="5" t="n"/>
      <c r="D6" s="6">
        <f>B6-C6</f>
        <v/>
      </c>
      <c r="E6" s="7">
        <f>IF(B6=0,"—",C6/B6)</f>
        <v/>
      </c>
      <c r="F6" s="8">
        <f>IF(B6=0,"",REPT("▓",MIN(20,INT(C6/B6*20)))&amp;REPT("░",MAX(0,20-MIN(20,INT(C6/B6*20)))))</f>
        <v/>
      </c>
      <c r="G6" s="9">
        <f>IF(C6="","⬜",IF(C6/B6&lt;0.8,"🟢",IF(C6/B6&lt;=1,"🟡","🔴")))</f>
        <v/>
      </c>
    </row>
    <row r="7" ht="18" customHeight="1">
      <c r="A7" s="4" t="inlineStr">
        <is>
          <t>Autres revenus</t>
        </is>
      </c>
      <c r="B7" s="5" t="n"/>
      <c r="C7" s="5" t="n"/>
      <c r="D7" s="6">
        <f>B7-C7</f>
        <v/>
      </c>
      <c r="E7" s="7">
        <f>IF(B7=0,"—",C7/B7)</f>
        <v/>
      </c>
      <c r="F7" s="8">
        <f>IF(B7=0,"",REPT("▓",MIN(20,INT(C7/B7*20)))&amp;REPT("░",MAX(0,20-MIN(20,INT(C7/B7*20)))))</f>
        <v/>
      </c>
      <c r="G7" s="9">
        <f>IF(C7="","⬜",IF(C7/B7&lt;0.8,"🟢",IF(C7/B7&lt;=1,"🟡","🔴")))</f>
        <v/>
      </c>
    </row>
    <row r="8" ht="20" customHeight="1">
      <c r="A8" s="10" t="inlineStr">
        <is>
          <t>TOTAL</t>
        </is>
      </c>
      <c r="B8" s="11">
        <f>SUM(B4:B7)</f>
        <v/>
      </c>
      <c r="C8" s="11">
        <f>SUM(C4:C7)</f>
        <v/>
      </c>
      <c r="D8" s="11">
        <f>B8-C8</f>
        <v/>
      </c>
      <c r="E8" s="12">
        <f>IF(B8=0,"—",C8/B8)</f>
        <v/>
      </c>
      <c r="F8" s="13" t="n"/>
      <c r="G8" s="13" t="n"/>
    </row>
    <row r="9" ht="8" customHeight="1">
      <c r="A9" s="14" t="n"/>
      <c r="B9" s="14" t="n"/>
      <c r="C9" s="14" t="n"/>
      <c r="D9" s="14" t="n"/>
      <c r="E9" s="14" t="n"/>
      <c r="F9" s="14" t="n"/>
      <c r="G9" s="14" t="n"/>
    </row>
    <row r="10" ht="22" customHeight="1">
      <c r="A10" s="2" t="inlineStr">
        <is>
          <t>🏠 DÉPENSES FIXES</t>
        </is>
      </c>
    </row>
    <row r="11" ht="18" customHeight="1">
      <c r="A11" s="3" t="inlineStr">
        <is>
          <t>Catégorie</t>
        </is>
      </c>
      <c r="B11" s="3" t="inlineStr">
        <is>
          <t>Budget Prévu</t>
        </is>
      </c>
      <c r="C11" s="3" t="inlineStr">
        <is>
          <t>Réel</t>
        </is>
      </c>
      <c r="D11" s="3" t="inlineStr">
        <is>
          <t>Écart</t>
        </is>
      </c>
      <c r="E11" s="3" t="inlineStr">
        <is>
          <t>%</t>
        </is>
      </c>
      <c r="F11" s="3" t="inlineStr">
        <is>
          <t>Progression</t>
        </is>
      </c>
      <c r="G11" s="3" t="inlineStr">
        <is>
          <t>✓</t>
        </is>
      </c>
    </row>
    <row r="12" ht="18" customHeight="1">
      <c r="A12" s="4" t="inlineStr">
        <is>
          <t>Loyer/Crédit</t>
        </is>
      </c>
      <c r="B12" s="5" t="n"/>
      <c r="C12" s="5" t="n"/>
      <c r="D12" s="6">
        <f>B12-C12</f>
        <v/>
      </c>
      <c r="E12" s="7">
        <f>IF(B12=0,"—",C12/B12)</f>
        <v/>
      </c>
      <c r="F12" s="8">
        <f>IF(B12=0,"",REPT("▓",MIN(20,INT(C12/B12*20)))&amp;REPT("░",MAX(0,20-MIN(20,INT(C12/B12*20)))))</f>
        <v/>
      </c>
      <c r="G12" s="9">
        <f>IF(C12="","⬜",IF(C12/B12&lt;0.8,"🟢",IF(C12/B12&lt;=1,"🟡","🔴")))</f>
        <v/>
      </c>
    </row>
    <row r="13" ht="18" customHeight="1">
      <c r="A13" s="4" t="inlineStr">
        <is>
          <t>Assurances</t>
        </is>
      </c>
      <c r="B13" s="5" t="n"/>
      <c r="C13" s="5" t="n"/>
      <c r="D13" s="6">
        <f>B13-C13</f>
        <v/>
      </c>
      <c r="E13" s="7">
        <f>IF(B13=0,"—",C13/B13)</f>
        <v/>
      </c>
      <c r="F13" s="8">
        <f>IF(B13=0,"",REPT("▓",MIN(20,INT(C13/B13*20)))&amp;REPT("░",MAX(0,20-MIN(20,INT(C13/B13*20)))))</f>
        <v/>
      </c>
      <c r="G13" s="9">
        <f>IF(C13="","⬜",IF(C13/B13&lt;0.8,"🟢",IF(C13/B13&lt;=1,"🟡","🔴")))</f>
        <v/>
      </c>
    </row>
    <row r="14" ht="18" customHeight="1">
      <c r="A14" s="4" t="inlineStr">
        <is>
          <t>Abonnements</t>
        </is>
      </c>
      <c r="B14" s="5" t="n"/>
      <c r="C14" s="5" t="n"/>
      <c r="D14" s="6">
        <f>B14-C14</f>
        <v/>
      </c>
      <c r="E14" s="7">
        <f>IF(B14=0,"—",C14/B14)</f>
        <v/>
      </c>
      <c r="F14" s="8">
        <f>IF(B14=0,"",REPT("▓",MIN(20,INT(C14/B14*20)))&amp;REPT("░",MAX(0,20-MIN(20,INT(C14/B14*20)))))</f>
        <v/>
      </c>
      <c r="G14" s="9">
        <f>IF(C14="","⬜",IF(C14/B14&lt;0.8,"🟢",IF(C14/B14&lt;=1,"🟡","🔴")))</f>
        <v/>
      </c>
    </row>
    <row r="15" ht="18" customHeight="1">
      <c r="A15" s="4" t="inlineStr">
        <is>
          <t>Téléphone/Internet</t>
        </is>
      </c>
      <c r="B15" s="5" t="n"/>
      <c r="C15" s="5" t="n"/>
      <c r="D15" s="6">
        <f>B15-C15</f>
        <v/>
      </c>
      <c r="E15" s="7">
        <f>IF(B15=0,"—",C15/B15)</f>
        <v/>
      </c>
      <c r="F15" s="8">
        <f>IF(B15=0,"",REPT("▓",MIN(20,INT(C15/B15*20)))&amp;REPT("░",MAX(0,20-MIN(20,INT(C15/B15*20)))))</f>
        <v/>
      </c>
      <c r="G15" s="9">
        <f>IF(C15="","⬜",IF(C15/B15&lt;0.8,"🟢",IF(C15/B15&lt;=1,"🟡","🔴")))</f>
        <v/>
      </c>
    </row>
    <row r="16" ht="20" customHeight="1">
      <c r="A16" s="10" t="inlineStr">
        <is>
          <t>TOTAL</t>
        </is>
      </c>
      <c r="B16" s="11">
        <f>SUM(B12:B15)</f>
        <v/>
      </c>
      <c r="C16" s="11">
        <f>SUM(C12:C15)</f>
        <v/>
      </c>
      <c r="D16" s="11">
        <f>B16-C16</f>
        <v/>
      </c>
      <c r="E16" s="12">
        <f>IF(B16=0,"—",C16/B16)</f>
        <v/>
      </c>
      <c r="F16" s="13" t="n"/>
      <c r="G16" s="13" t="n"/>
    </row>
    <row r="17" ht="8" customHeight="1">
      <c r="A17" s="14" t="n"/>
      <c r="B17" s="14" t="n"/>
      <c r="C17" s="14" t="n"/>
      <c r="D17" s="14" t="n"/>
      <c r="E17" s="14" t="n"/>
      <c r="F17" s="14" t="n"/>
      <c r="G17" s="14" t="n"/>
    </row>
    <row r="18" ht="22" customHeight="1">
      <c r="A18" s="2" t="inlineStr">
        <is>
          <t>🛒 DÉPENSES VARIABLES</t>
        </is>
      </c>
    </row>
    <row r="19" ht="18" customHeight="1">
      <c r="A19" s="3" t="inlineStr">
        <is>
          <t>Catégorie</t>
        </is>
      </c>
      <c r="B19" s="3" t="inlineStr">
        <is>
          <t>Budget Prévu</t>
        </is>
      </c>
      <c r="C19" s="3" t="inlineStr">
        <is>
          <t>Réel</t>
        </is>
      </c>
      <c r="D19" s="3" t="inlineStr">
        <is>
          <t>Écart</t>
        </is>
      </c>
      <c r="E19" s="3" t="inlineStr">
        <is>
          <t>%</t>
        </is>
      </c>
      <c r="F19" s="3" t="inlineStr">
        <is>
          <t>Progression</t>
        </is>
      </c>
      <c r="G19" s="3" t="inlineStr">
        <is>
          <t>✓</t>
        </is>
      </c>
    </row>
    <row r="20" ht="18" customHeight="1">
      <c r="A20" s="4" t="inlineStr">
        <is>
          <t>Alimentation</t>
        </is>
      </c>
      <c r="B20" s="5" t="n"/>
      <c r="C20" s="5" t="n"/>
      <c r="D20" s="6">
        <f>B20-C20</f>
        <v/>
      </c>
      <c r="E20" s="7">
        <f>IF(B20=0,"—",C20/B20)</f>
        <v/>
      </c>
      <c r="F20" s="8">
        <f>IF(B20=0,"",REPT("▓",MIN(20,INT(C20/B20*20)))&amp;REPT("░",MAX(0,20-MIN(20,INT(C20/B20*20)))))</f>
        <v/>
      </c>
      <c r="G20" s="9">
        <f>IF(C20="","⬜",IF(C20/B20&lt;0.8,"🟢",IF(C20/B20&lt;=1,"🟡","🔴")))</f>
        <v/>
      </c>
    </row>
    <row r="21" ht="18" customHeight="1">
      <c r="A21" s="4" t="inlineStr">
        <is>
          <t>Transport</t>
        </is>
      </c>
      <c r="B21" s="5" t="n"/>
      <c r="C21" s="5" t="n"/>
      <c r="D21" s="6">
        <f>B21-C21</f>
        <v/>
      </c>
      <c r="E21" s="7">
        <f>IF(B21=0,"—",C21/B21)</f>
        <v/>
      </c>
      <c r="F21" s="8">
        <f>IF(B21=0,"",REPT("▓",MIN(20,INT(C21/B21*20)))&amp;REPT("░",MAX(0,20-MIN(20,INT(C21/B21*20)))))</f>
        <v/>
      </c>
      <c r="G21" s="9">
        <f>IF(C21="","⬜",IF(C21/B21&lt;0.8,"🟢",IF(C21/B21&lt;=1,"🟡","🔴")))</f>
        <v/>
      </c>
    </row>
    <row r="22" ht="18" customHeight="1">
      <c r="A22" s="4" t="inlineStr">
        <is>
          <t>Santé</t>
        </is>
      </c>
      <c r="B22" s="5" t="n"/>
      <c r="C22" s="5" t="n"/>
      <c r="D22" s="6">
        <f>B22-C22</f>
        <v/>
      </c>
      <c r="E22" s="7">
        <f>IF(B22=0,"—",C22/B22)</f>
        <v/>
      </c>
      <c r="F22" s="8">
        <f>IF(B22=0,"",REPT("▓",MIN(20,INT(C22/B22*20)))&amp;REPT("░",MAX(0,20-MIN(20,INT(C22/B22*20)))))</f>
        <v/>
      </c>
      <c r="G22" s="9">
        <f>IF(C22="","⬜",IF(C22/B22&lt;0.8,"🟢",IF(C22/B22&lt;=1,"🟡","🔴")))</f>
        <v/>
      </c>
    </row>
    <row r="23" ht="18" customHeight="1">
      <c r="A23" s="4" t="inlineStr">
        <is>
          <t>Loisirs</t>
        </is>
      </c>
      <c r="B23" s="5" t="n"/>
      <c r="C23" s="5" t="n"/>
      <c r="D23" s="6">
        <f>B23-C23</f>
        <v/>
      </c>
      <c r="E23" s="7">
        <f>IF(B23=0,"—",C23/B23)</f>
        <v/>
      </c>
      <c r="F23" s="8">
        <f>IF(B23=0,"",REPT("▓",MIN(20,INT(C23/B23*20)))&amp;REPT("░",MAX(0,20-MIN(20,INT(C23/B23*20)))))</f>
        <v/>
      </c>
      <c r="G23" s="9">
        <f>IF(C23="","⬜",IF(C23/B23&lt;0.8,"🟢",IF(C23/B23&lt;=1,"🟡","🔴")))</f>
        <v/>
      </c>
    </row>
    <row r="24" ht="18" customHeight="1">
      <c r="A24" s="4" t="inlineStr">
        <is>
          <t>Shopping</t>
        </is>
      </c>
      <c r="B24" s="5" t="n"/>
      <c r="C24" s="5" t="n"/>
      <c r="D24" s="6">
        <f>B24-C24</f>
        <v/>
      </c>
      <c r="E24" s="7">
        <f>IF(B24=0,"—",C24/B24)</f>
        <v/>
      </c>
      <c r="F24" s="8">
        <f>IF(B24=0,"",REPT("▓",MIN(20,INT(C24/B24*20)))&amp;REPT("░",MAX(0,20-MIN(20,INT(C24/B24*20)))))</f>
        <v/>
      </c>
      <c r="G24" s="9">
        <f>IF(C24="","⬜",IF(C24/B24&lt;0.8,"🟢",IF(C24/B24&lt;=1,"🟡","🔴")))</f>
        <v/>
      </c>
    </row>
    <row r="25" ht="18" customHeight="1">
      <c r="A25" s="4" t="inlineStr">
        <is>
          <t>Restaurant</t>
        </is>
      </c>
      <c r="B25" s="5" t="n"/>
      <c r="C25" s="5" t="n"/>
      <c r="D25" s="6">
        <f>B25-C25</f>
        <v/>
      </c>
      <c r="E25" s="7">
        <f>IF(B25=0,"—",C25/B25)</f>
        <v/>
      </c>
      <c r="F25" s="8">
        <f>IF(B25=0,"",REPT("▓",MIN(20,INT(C25/B25*20)))&amp;REPT("░",MAX(0,20-MIN(20,INT(C25/B25*20)))))</f>
        <v/>
      </c>
      <c r="G25" s="9">
        <f>IF(C25="","⬜",IF(C25/B25&lt;0.8,"🟢",IF(C25/B25&lt;=1,"🟡","🔴")))</f>
        <v/>
      </c>
    </row>
    <row r="26" ht="18" customHeight="1">
      <c r="A26" s="4" t="inlineStr">
        <is>
          <t>Beauté</t>
        </is>
      </c>
      <c r="B26" s="5" t="n"/>
      <c r="C26" s="5" t="n"/>
      <c r="D26" s="6">
        <f>B26-C26</f>
        <v/>
      </c>
      <c r="E26" s="7">
        <f>IF(B26=0,"—",C26/B26)</f>
        <v/>
      </c>
      <c r="F26" s="8">
        <f>IF(B26=0,"",REPT("▓",MIN(20,INT(C26/B26*20)))&amp;REPT("░",MAX(0,20-MIN(20,INT(C26/B26*20)))))</f>
        <v/>
      </c>
      <c r="G26" s="9">
        <f>IF(C26="","⬜",IF(C26/B26&lt;0.8,"🟢",IF(C26/B26&lt;=1,"🟡","🔴")))</f>
        <v/>
      </c>
    </row>
    <row r="27" ht="18" customHeight="1">
      <c r="A27" s="4" t="inlineStr">
        <is>
          <t>Autre</t>
        </is>
      </c>
      <c r="B27" s="5" t="n"/>
      <c r="C27" s="5" t="n"/>
      <c r="D27" s="6">
        <f>B27-C27</f>
        <v/>
      </c>
      <c r="E27" s="7">
        <f>IF(B27=0,"—",C27/B27)</f>
        <v/>
      </c>
      <c r="F27" s="8">
        <f>IF(B27=0,"",REPT("▓",MIN(20,INT(C27/B27*20)))&amp;REPT("░",MAX(0,20-MIN(20,INT(C27/B27*20)))))</f>
        <v/>
      </c>
      <c r="G27" s="9">
        <f>IF(C27="","⬜",IF(C27/B27&lt;0.8,"🟢",IF(C27/B27&lt;=1,"🟡","🔴")))</f>
        <v/>
      </c>
    </row>
    <row r="28" ht="20" customHeight="1">
      <c r="A28" s="10" t="inlineStr">
        <is>
          <t>TOTAL</t>
        </is>
      </c>
      <c r="B28" s="11">
        <f>SUM(B20:B27)</f>
        <v/>
      </c>
      <c r="C28" s="11">
        <f>SUM(C20:C27)</f>
        <v/>
      </c>
      <c r="D28" s="11">
        <f>B28-C28</f>
        <v/>
      </c>
      <c r="E28" s="12">
        <f>IF(B28=0,"—",C28/B28)</f>
        <v/>
      </c>
      <c r="F28" s="13" t="n"/>
      <c r="G28" s="13" t="n"/>
    </row>
    <row r="29" ht="8" customHeight="1">
      <c r="A29" s="14" t="n"/>
      <c r="B29" s="14" t="n"/>
      <c r="C29" s="14" t="n"/>
      <c r="D29" s="14" t="n"/>
      <c r="E29" s="14" t="n"/>
      <c r="F29" s="14" t="n"/>
      <c r="G29" s="14" t="n"/>
    </row>
    <row r="30" ht="22" customHeight="1">
      <c r="A30" s="2" t="inlineStr">
        <is>
          <t>💳 CRÉDITS</t>
        </is>
      </c>
    </row>
    <row r="31" ht="18" customHeight="1">
      <c r="A31" s="3" t="inlineStr">
        <is>
          <t>Catégorie</t>
        </is>
      </c>
      <c r="B31" s="3" t="inlineStr">
        <is>
          <t>Budget Prévu</t>
        </is>
      </c>
      <c r="C31" s="3" t="inlineStr">
        <is>
          <t>Réel</t>
        </is>
      </c>
      <c r="D31" s="3" t="inlineStr">
        <is>
          <t>Écart</t>
        </is>
      </c>
      <c r="E31" s="3" t="inlineStr">
        <is>
          <t>%</t>
        </is>
      </c>
      <c r="F31" s="3" t="inlineStr">
        <is>
          <t>Progression</t>
        </is>
      </c>
      <c r="G31" s="3" t="inlineStr">
        <is>
          <t>✓</t>
        </is>
      </c>
    </row>
    <row r="32" ht="18" customHeight="1">
      <c r="A32" s="4" t="inlineStr">
        <is>
          <t>Crédit auto</t>
        </is>
      </c>
      <c r="B32" s="5" t="n"/>
      <c r="C32" s="5" t="n"/>
      <c r="D32" s="6">
        <f>B32-C32</f>
        <v/>
      </c>
      <c r="E32" s="7">
        <f>IF(B32=0,"—",C32/B32)</f>
        <v/>
      </c>
      <c r="F32" s="8">
        <f>IF(B32=0,"",REPT("▓",MIN(20,INT(C32/B32*20)))&amp;REPT("░",MAX(0,20-MIN(20,INT(C32/B32*20)))))</f>
        <v/>
      </c>
      <c r="G32" s="9">
        <f>IF(C32="","⬜",IF(C32/B32&lt;0.8,"🟢",IF(C32/B32&lt;=1,"🟡","🔴")))</f>
        <v/>
      </c>
    </row>
    <row r="33" ht="18" customHeight="1">
      <c r="A33" s="4" t="inlineStr">
        <is>
          <t>Crédit conso</t>
        </is>
      </c>
      <c r="B33" s="5" t="n"/>
      <c r="C33" s="5" t="n"/>
      <c r="D33" s="6">
        <f>B33-C33</f>
        <v/>
      </c>
      <c r="E33" s="7">
        <f>IF(B33=0,"—",C33/B33)</f>
        <v/>
      </c>
      <c r="F33" s="8">
        <f>IF(B33=0,"",REPT("▓",MIN(20,INT(C33/B33*20)))&amp;REPT("░",MAX(0,20-MIN(20,INT(C33/B33*20)))))</f>
        <v/>
      </c>
      <c r="G33" s="9">
        <f>IF(C33="","⬜",IF(C33/B33&lt;0.8,"🟢",IF(C33/B33&lt;=1,"🟡","🔴")))</f>
        <v/>
      </c>
    </row>
    <row r="34" ht="18" customHeight="1">
      <c r="A34" s="4" t="inlineStr">
        <is>
          <t>Autre crédit</t>
        </is>
      </c>
      <c r="B34" s="5" t="n"/>
      <c r="C34" s="5" t="n"/>
      <c r="D34" s="6">
        <f>B34-C34</f>
        <v/>
      </c>
      <c r="E34" s="7">
        <f>IF(B34=0,"—",C34/B34)</f>
        <v/>
      </c>
      <c r="F34" s="8">
        <f>IF(B34=0,"",REPT("▓",MIN(20,INT(C34/B34*20)))&amp;REPT("░",MAX(0,20-MIN(20,INT(C34/B34*20)))))</f>
        <v/>
      </c>
      <c r="G34" s="9">
        <f>IF(C34="","⬜",IF(C34/B34&lt;0.8,"🟢",IF(C34/B34&lt;=1,"🟡","🔴")))</f>
        <v/>
      </c>
    </row>
    <row r="35" ht="20" customHeight="1">
      <c r="A35" s="10" t="inlineStr">
        <is>
          <t>TOTAL</t>
        </is>
      </c>
      <c r="B35" s="11">
        <f>SUM(B32:B34)</f>
        <v/>
      </c>
      <c r="C35" s="11">
        <f>SUM(C32:C34)</f>
        <v/>
      </c>
      <c r="D35" s="11">
        <f>B35-C35</f>
        <v/>
      </c>
      <c r="E35" s="12">
        <f>IF(B35=0,"—",C35/B35)</f>
        <v/>
      </c>
      <c r="F35" s="13" t="n"/>
      <c r="G35" s="13" t="n"/>
    </row>
    <row r="36" ht="8" customHeight="1">
      <c r="A36" s="14" t="n"/>
      <c r="B36" s="14" t="n"/>
      <c r="C36" s="14" t="n"/>
      <c r="D36" s="14" t="n"/>
      <c r="E36" s="14" t="n"/>
      <c r="F36" s="14" t="n"/>
      <c r="G36" s="14" t="n"/>
    </row>
    <row r="37" ht="22" customHeight="1">
      <c r="A37" s="2" t="inlineStr">
        <is>
          <t>🏦 ÉPARGNE</t>
        </is>
      </c>
    </row>
    <row r="38" ht="18" customHeight="1">
      <c r="A38" s="3" t="inlineStr">
        <is>
          <t>Catégorie</t>
        </is>
      </c>
      <c r="B38" s="3" t="inlineStr">
        <is>
          <t>Budget Prévu</t>
        </is>
      </c>
      <c r="C38" s="3" t="inlineStr">
        <is>
          <t>Réel</t>
        </is>
      </c>
      <c r="D38" s="3" t="inlineStr">
        <is>
          <t>Écart</t>
        </is>
      </c>
      <c r="E38" s="3" t="inlineStr">
        <is>
          <t>%</t>
        </is>
      </c>
      <c r="F38" s="3" t="inlineStr">
        <is>
          <t>Progression</t>
        </is>
      </c>
      <c r="G38" s="3" t="inlineStr">
        <is>
          <t>✓</t>
        </is>
      </c>
    </row>
    <row r="39" ht="18" customHeight="1">
      <c r="A39" s="4" t="inlineStr">
        <is>
          <t>Livret A</t>
        </is>
      </c>
      <c r="B39" s="5" t="n"/>
      <c r="C39" s="5" t="n"/>
      <c r="D39" s="6">
        <f>B39-C39</f>
        <v/>
      </c>
      <c r="E39" s="7">
        <f>IF(B39=0,"—",C39/B39)</f>
        <v/>
      </c>
      <c r="F39" s="8">
        <f>IF(B39=0,"",REPT("▓",MIN(20,INT(C39/B39*20)))&amp;REPT("░",MAX(0,20-MIN(20,INT(C39/B39*20)))))</f>
        <v/>
      </c>
      <c r="G39" s="9">
        <f>IF(C39="","⬜",IF(C39/B39&lt;0.8,"🟢",IF(C39/B39&lt;=1,"🟡","🔴")))</f>
        <v/>
      </c>
    </row>
    <row r="40" ht="18" customHeight="1">
      <c r="A40" s="4" t="inlineStr">
        <is>
          <t>PEL</t>
        </is>
      </c>
      <c r="B40" s="5" t="n"/>
      <c r="C40" s="5" t="n"/>
      <c r="D40" s="6">
        <f>B40-C40</f>
        <v/>
      </c>
      <c r="E40" s="7">
        <f>IF(B40=0,"—",C40/B40)</f>
        <v/>
      </c>
      <c r="F40" s="8">
        <f>IF(B40=0,"",REPT("▓",MIN(20,INT(C40/B40*20)))&amp;REPT("░",MAX(0,20-MIN(20,INT(C40/B40*20)))))</f>
        <v/>
      </c>
      <c r="G40" s="9">
        <f>IF(C40="","⬜",IF(C40/B40&lt;0.8,"🟢",IF(C40/B40&lt;=1,"🟡","🔴")))</f>
        <v/>
      </c>
    </row>
    <row r="41" ht="18" customHeight="1">
      <c r="A41" s="4" t="inlineStr">
        <is>
          <t>Assurance-vie</t>
        </is>
      </c>
      <c r="B41" s="5" t="n"/>
      <c r="C41" s="5" t="n"/>
      <c r="D41" s="6">
        <f>B41-C41</f>
        <v/>
      </c>
      <c r="E41" s="7">
        <f>IF(B41=0,"—",C41/B41)</f>
        <v/>
      </c>
      <c r="F41" s="8">
        <f>IF(B41=0,"",REPT("▓",MIN(20,INT(C41/B41*20)))&amp;REPT("░",MAX(0,20-MIN(20,INT(C41/B41*20)))))</f>
        <v/>
      </c>
      <c r="G41" s="9">
        <f>IF(C41="","⬜",IF(C41/B41&lt;0.8,"🟢",IF(C41/B41&lt;=1,"🟡","🔴")))</f>
        <v/>
      </c>
    </row>
    <row r="42" ht="18" customHeight="1">
      <c r="A42" s="4" t="inlineStr">
        <is>
          <t>Investissements</t>
        </is>
      </c>
      <c r="B42" s="5" t="n"/>
      <c r="C42" s="5" t="n"/>
      <c r="D42" s="6">
        <f>B42-C42</f>
        <v/>
      </c>
      <c r="E42" s="7">
        <f>IF(B42=0,"—",C42/B42)</f>
        <v/>
      </c>
      <c r="F42" s="8">
        <f>IF(B42=0,"",REPT("▓",MIN(20,INT(C42/B42*20)))&amp;REPT("░",MAX(0,20-MIN(20,INT(C42/B42*20)))))</f>
        <v/>
      </c>
      <c r="G42" s="9">
        <f>IF(C42="","⬜",IF(C42/B42&lt;0.8,"🟢",IF(C42/B42&lt;=1,"🟡","🔴")))</f>
        <v/>
      </c>
    </row>
    <row r="43" ht="20" customHeight="1">
      <c r="A43" s="10" t="inlineStr">
        <is>
          <t>TOTAL</t>
        </is>
      </c>
      <c r="B43" s="11">
        <f>SUM(B39:B42)</f>
        <v/>
      </c>
      <c r="C43" s="11">
        <f>SUM(C39:C42)</f>
        <v/>
      </c>
      <c r="D43" s="11">
        <f>B43-C43</f>
        <v/>
      </c>
      <c r="E43" s="12">
        <f>IF(B43=0,"—",C43/B43)</f>
        <v/>
      </c>
      <c r="F43" s="13" t="n"/>
      <c r="G43" s="13" t="n"/>
    </row>
    <row r="44" ht="8" customHeight="1">
      <c r="A44" s="14" t="n"/>
      <c r="B44" s="14" t="n"/>
      <c r="C44" s="14" t="n"/>
      <c r="D44" s="14" t="n"/>
      <c r="E44" s="14" t="n"/>
      <c r="F44" s="14" t="n"/>
      <c r="G44" s="14" t="n"/>
    </row>
    <row r="46" ht="22" customHeight="1">
      <c r="A46" s="15" t="inlineStr">
        <is>
          <t>Total Revenus</t>
        </is>
      </c>
      <c r="B46" s="13" t="n"/>
      <c r="C46" s="16">
        <f>C8</f>
        <v/>
      </c>
      <c r="D46" s="13" t="n"/>
      <c r="E46" s="13" t="n"/>
      <c r="F46" s="13" t="n"/>
      <c r="G46" s="13" t="n"/>
    </row>
    <row r="47" ht="22" customHeight="1">
      <c r="A47" s="15" t="inlineStr">
        <is>
          <t>Total Dépenses</t>
        </is>
      </c>
      <c r="B47" s="13" t="n"/>
      <c r="C47" s="16">
        <f>C16+C28+C35</f>
        <v/>
      </c>
      <c r="D47" s="13" t="n"/>
      <c r="E47" s="13" t="n"/>
      <c r="F47" s="13" t="n"/>
      <c r="G47" s="13" t="n"/>
    </row>
    <row r="48" ht="22" customHeight="1">
      <c r="A48" s="17" t="inlineStr">
        <is>
          <t>Solde du mois</t>
        </is>
      </c>
      <c r="B48" s="18" t="n"/>
      <c r="C48" s="19">
        <f>C46-C47</f>
        <v/>
      </c>
      <c r="D48" s="18" t="n"/>
      <c r="E48" s="18" t="n"/>
      <c r="F48" s="18" t="n"/>
      <c r="G48" s="18" t="n"/>
    </row>
    <row r="49" ht="22" customHeight="1">
      <c r="A49" s="17" t="inlineStr">
        <is>
          <t>Taux d'épargne</t>
        </is>
      </c>
      <c r="B49" s="18" t="n"/>
      <c r="C49" s="20">
        <f>IF(C46=0,"—",C48/C46)</f>
        <v/>
      </c>
      <c r="D49" s="18" t="n"/>
      <c r="E49" s="18" t="n"/>
      <c r="F49" s="18" t="n"/>
      <c r="G49" s="18" t="n"/>
    </row>
    <row r="50" ht="22" customHeight="1">
      <c r="A50" s="15" t="inlineStr">
        <is>
          <t>Objectif Épargne</t>
        </is>
      </c>
      <c r="B50" s="13" t="n"/>
      <c r="C50" s="21" t="n"/>
      <c r="D50" s="13" t="n"/>
      <c r="E50" s="13" t="n"/>
      <c r="F50" s="13" t="n"/>
      <c r="G50" s="13" t="n"/>
    </row>
  </sheetData>
  <mergeCells count="6">
    <mergeCell ref="A1:G1"/>
    <mergeCell ref="A18:G18"/>
    <mergeCell ref="A30:G30"/>
    <mergeCell ref="A2:G2"/>
    <mergeCell ref="A10:G10"/>
    <mergeCell ref="A37:G3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3460"/>
    <outlinePr summaryBelow="1" summaryRight="1"/>
    <pageSetUpPr/>
  </sheetPr>
  <dimension ref="A1:G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0" customWidth="1" min="5" max="5"/>
    <col width="22" customWidth="1" min="6" max="6"/>
    <col width="6" customWidth="1" min="7" max="7"/>
  </cols>
  <sheetData>
    <row r="1" ht="36" customHeight="1">
      <c r="A1" s="1" t="inlineStr">
        <is>
          <t>📅 JUIN</t>
        </is>
      </c>
    </row>
    <row r="2" ht="22" customHeight="1">
      <c r="A2" s="2" t="inlineStr">
        <is>
          <t>💰 REVENUS</t>
        </is>
      </c>
    </row>
    <row r="3" ht="18" customHeight="1">
      <c r="A3" s="3" t="inlineStr">
        <is>
          <t>Catégorie</t>
        </is>
      </c>
      <c r="B3" s="3" t="inlineStr">
        <is>
          <t>Budget Prévu</t>
        </is>
      </c>
      <c r="C3" s="3" t="inlineStr">
        <is>
          <t>Réel</t>
        </is>
      </c>
      <c r="D3" s="3" t="inlineStr">
        <is>
          <t>Écart</t>
        </is>
      </c>
      <c r="E3" s="3" t="inlineStr">
        <is>
          <t>%</t>
        </is>
      </c>
      <c r="F3" s="3" t="inlineStr">
        <is>
          <t>Progression</t>
        </is>
      </c>
      <c r="G3" s="3" t="inlineStr">
        <is>
          <t>✓</t>
        </is>
      </c>
    </row>
    <row r="4" ht="18" customHeight="1">
      <c r="A4" s="4" t="inlineStr">
        <is>
          <t>Salaire</t>
        </is>
      </c>
      <c r="B4" s="5" t="n"/>
      <c r="C4" s="5" t="n"/>
      <c r="D4" s="6">
        <f>B4-C4</f>
        <v/>
      </c>
      <c r="E4" s="7">
        <f>IF(B4=0,"—",C4/B4)</f>
        <v/>
      </c>
      <c r="F4" s="8">
        <f>IF(B4=0,"",REPT("▓",MIN(20,INT(C4/B4*20)))&amp;REPT("░",MAX(0,20-MIN(20,INT(C4/B4*20)))))</f>
        <v/>
      </c>
      <c r="G4" s="9">
        <f>IF(C4="","⬜",IF(C4/B4&lt;0.8,"🟢",IF(C4/B4&lt;=1,"🟡","🔴")))</f>
        <v/>
      </c>
    </row>
    <row r="5" ht="18" customHeight="1">
      <c r="A5" s="4" t="inlineStr">
        <is>
          <t>Freelance</t>
        </is>
      </c>
      <c r="B5" s="5" t="n"/>
      <c r="C5" s="5" t="n"/>
      <c r="D5" s="6">
        <f>B5-C5</f>
        <v/>
      </c>
      <c r="E5" s="7">
        <f>IF(B5=0,"—",C5/B5)</f>
        <v/>
      </c>
      <c r="F5" s="8">
        <f>IF(B5=0,"",REPT("▓",MIN(20,INT(C5/B5*20)))&amp;REPT("░",MAX(0,20-MIN(20,INT(C5/B5*20)))))</f>
        <v/>
      </c>
      <c r="G5" s="9">
        <f>IF(C5="","⬜",IF(C5/B5&lt;0.8,"🟢",IF(C5/B5&lt;=1,"🟡","🔴")))</f>
        <v/>
      </c>
    </row>
    <row r="6" ht="18" customHeight="1">
      <c r="A6" s="4" t="inlineStr">
        <is>
          <t>Aides/APL</t>
        </is>
      </c>
      <c r="B6" s="5" t="n"/>
      <c r="C6" s="5" t="n"/>
      <c r="D6" s="6">
        <f>B6-C6</f>
        <v/>
      </c>
      <c r="E6" s="7">
        <f>IF(B6=0,"—",C6/B6)</f>
        <v/>
      </c>
      <c r="F6" s="8">
        <f>IF(B6=0,"",REPT("▓",MIN(20,INT(C6/B6*20)))&amp;REPT("░",MAX(0,20-MIN(20,INT(C6/B6*20)))))</f>
        <v/>
      </c>
      <c r="G6" s="9">
        <f>IF(C6="","⬜",IF(C6/B6&lt;0.8,"🟢",IF(C6/B6&lt;=1,"🟡","🔴")))</f>
        <v/>
      </c>
    </row>
    <row r="7" ht="18" customHeight="1">
      <c r="A7" s="4" t="inlineStr">
        <is>
          <t>Autres revenus</t>
        </is>
      </c>
      <c r="B7" s="5" t="n"/>
      <c r="C7" s="5" t="n"/>
      <c r="D7" s="6">
        <f>B7-C7</f>
        <v/>
      </c>
      <c r="E7" s="7">
        <f>IF(B7=0,"—",C7/B7)</f>
        <v/>
      </c>
      <c r="F7" s="8">
        <f>IF(B7=0,"",REPT("▓",MIN(20,INT(C7/B7*20)))&amp;REPT("░",MAX(0,20-MIN(20,INT(C7/B7*20)))))</f>
        <v/>
      </c>
      <c r="G7" s="9">
        <f>IF(C7="","⬜",IF(C7/B7&lt;0.8,"🟢",IF(C7/B7&lt;=1,"🟡","🔴")))</f>
        <v/>
      </c>
    </row>
    <row r="8" ht="20" customHeight="1">
      <c r="A8" s="10" t="inlineStr">
        <is>
          <t>TOTAL</t>
        </is>
      </c>
      <c r="B8" s="11">
        <f>SUM(B4:B7)</f>
        <v/>
      </c>
      <c r="C8" s="11">
        <f>SUM(C4:C7)</f>
        <v/>
      </c>
      <c r="D8" s="11">
        <f>B8-C8</f>
        <v/>
      </c>
      <c r="E8" s="12">
        <f>IF(B8=0,"—",C8/B8)</f>
        <v/>
      </c>
      <c r="F8" s="13" t="n"/>
      <c r="G8" s="13" t="n"/>
    </row>
    <row r="9" ht="8" customHeight="1">
      <c r="A9" s="14" t="n"/>
      <c r="B9" s="14" t="n"/>
      <c r="C9" s="14" t="n"/>
      <c r="D9" s="14" t="n"/>
      <c r="E9" s="14" t="n"/>
      <c r="F9" s="14" t="n"/>
      <c r="G9" s="14" t="n"/>
    </row>
    <row r="10" ht="22" customHeight="1">
      <c r="A10" s="2" t="inlineStr">
        <is>
          <t>🏠 DÉPENSES FIXES</t>
        </is>
      </c>
    </row>
    <row r="11" ht="18" customHeight="1">
      <c r="A11" s="3" t="inlineStr">
        <is>
          <t>Catégorie</t>
        </is>
      </c>
      <c r="B11" s="3" t="inlineStr">
        <is>
          <t>Budget Prévu</t>
        </is>
      </c>
      <c r="C11" s="3" t="inlineStr">
        <is>
          <t>Réel</t>
        </is>
      </c>
      <c r="D11" s="3" t="inlineStr">
        <is>
          <t>Écart</t>
        </is>
      </c>
      <c r="E11" s="3" t="inlineStr">
        <is>
          <t>%</t>
        </is>
      </c>
      <c r="F11" s="3" t="inlineStr">
        <is>
          <t>Progression</t>
        </is>
      </c>
      <c r="G11" s="3" t="inlineStr">
        <is>
          <t>✓</t>
        </is>
      </c>
    </row>
    <row r="12" ht="18" customHeight="1">
      <c r="A12" s="4" t="inlineStr">
        <is>
          <t>Loyer/Crédit</t>
        </is>
      </c>
      <c r="B12" s="5" t="n"/>
      <c r="C12" s="5" t="n"/>
      <c r="D12" s="6">
        <f>B12-C12</f>
        <v/>
      </c>
      <c r="E12" s="7">
        <f>IF(B12=0,"—",C12/B12)</f>
        <v/>
      </c>
      <c r="F12" s="8">
        <f>IF(B12=0,"",REPT("▓",MIN(20,INT(C12/B12*20)))&amp;REPT("░",MAX(0,20-MIN(20,INT(C12/B12*20)))))</f>
        <v/>
      </c>
      <c r="G12" s="9">
        <f>IF(C12="","⬜",IF(C12/B12&lt;0.8,"🟢",IF(C12/B12&lt;=1,"🟡","🔴")))</f>
        <v/>
      </c>
    </row>
    <row r="13" ht="18" customHeight="1">
      <c r="A13" s="4" t="inlineStr">
        <is>
          <t>Assurances</t>
        </is>
      </c>
      <c r="B13" s="5" t="n"/>
      <c r="C13" s="5" t="n"/>
      <c r="D13" s="6">
        <f>B13-C13</f>
        <v/>
      </c>
      <c r="E13" s="7">
        <f>IF(B13=0,"—",C13/B13)</f>
        <v/>
      </c>
      <c r="F13" s="8">
        <f>IF(B13=0,"",REPT("▓",MIN(20,INT(C13/B13*20)))&amp;REPT("░",MAX(0,20-MIN(20,INT(C13/B13*20)))))</f>
        <v/>
      </c>
      <c r="G13" s="9">
        <f>IF(C13="","⬜",IF(C13/B13&lt;0.8,"🟢",IF(C13/B13&lt;=1,"🟡","🔴")))</f>
        <v/>
      </c>
    </row>
    <row r="14" ht="18" customHeight="1">
      <c r="A14" s="4" t="inlineStr">
        <is>
          <t>Abonnements</t>
        </is>
      </c>
      <c r="B14" s="5" t="n"/>
      <c r="C14" s="5" t="n"/>
      <c r="D14" s="6">
        <f>B14-C14</f>
        <v/>
      </c>
      <c r="E14" s="7">
        <f>IF(B14=0,"—",C14/B14)</f>
        <v/>
      </c>
      <c r="F14" s="8">
        <f>IF(B14=0,"",REPT("▓",MIN(20,INT(C14/B14*20)))&amp;REPT("░",MAX(0,20-MIN(20,INT(C14/B14*20)))))</f>
        <v/>
      </c>
      <c r="G14" s="9">
        <f>IF(C14="","⬜",IF(C14/B14&lt;0.8,"🟢",IF(C14/B14&lt;=1,"🟡","🔴")))</f>
        <v/>
      </c>
    </row>
    <row r="15" ht="18" customHeight="1">
      <c r="A15" s="4" t="inlineStr">
        <is>
          <t>Téléphone/Internet</t>
        </is>
      </c>
      <c r="B15" s="5" t="n"/>
      <c r="C15" s="5" t="n"/>
      <c r="D15" s="6">
        <f>B15-C15</f>
        <v/>
      </c>
      <c r="E15" s="7">
        <f>IF(B15=0,"—",C15/B15)</f>
        <v/>
      </c>
      <c r="F15" s="8">
        <f>IF(B15=0,"",REPT("▓",MIN(20,INT(C15/B15*20)))&amp;REPT("░",MAX(0,20-MIN(20,INT(C15/B15*20)))))</f>
        <v/>
      </c>
      <c r="G15" s="9">
        <f>IF(C15="","⬜",IF(C15/B15&lt;0.8,"🟢",IF(C15/B15&lt;=1,"🟡","🔴")))</f>
        <v/>
      </c>
    </row>
    <row r="16" ht="20" customHeight="1">
      <c r="A16" s="10" t="inlineStr">
        <is>
          <t>TOTAL</t>
        </is>
      </c>
      <c r="B16" s="11">
        <f>SUM(B12:B15)</f>
        <v/>
      </c>
      <c r="C16" s="11">
        <f>SUM(C12:C15)</f>
        <v/>
      </c>
      <c r="D16" s="11">
        <f>B16-C16</f>
        <v/>
      </c>
      <c r="E16" s="12">
        <f>IF(B16=0,"—",C16/B16)</f>
        <v/>
      </c>
      <c r="F16" s="13" t="n"/>
      <c r="G16" s="13" t="n"/>
    </row>
    <row r="17" ht="8" customHeight="1">
      <c r="A17" s="14" t="n"/>
      <c r="B17" s="14" t="n"/>
      <c r="C17" s="14" t="n"/>
      <c r="D17" s="14" t="n"/>
      <c r="E17" s="14" t="n"/>
      <c r="F17" s="14" t="n"/>
      <c r="G17" s="14" t="n"/>
    </row>
    <row r="18" ht="22" customHeight="1">
      <c r="A18" s="2" t="inlineStr">
        <is>
          <t>🛒 DÉPENSES VARIABLES</t>
        </is>
      </c>
    </row>
    <row r="19" ht="18" customHeight="1">
      <c r="A19" s="3" t="inlineStr">
        <is>
          <t>Catégorie</t>
        </is>
      </c>
      <c r="B19" s="3" t="inlineStr">
        <is>
          <t>Budget Prévu</t>
        </is>
      </c>
      <c r="C19" s="3" t="inlineStr">
        <is>
          <t>Réel</t>
        </is>
      </c>
      <c r="D19" s="3" t="inlineStr">
        <is>
          <t>Écart</t>
        </is>
      </c>
      <c r="E19" s="3" t="inlineStr">
        <is>
          <t>%</t>
        </is>
      </c>
      <c r="F19" s="3" t="inlineStr">
        <is>
          <t>Progression</t>
        </is>
      </c>
      <c r="G19" s="3" t="inlineStr">
        <is>
          <t>✓</t>
        </is>
      </c>
    </row>
    <row r="20" ht="18" customHeight="1">
      <c r="A20" s="4" t="inlineStr">
        <is>
          <t>Alimentation</t>
        </is>
      </c>
      <c r="B20" s="5" t="n"/>
      <c r="C20" s="5" t="n"/>
      <c r="D20" s="6">
        <f>B20-C20</f>
        <v/>
      </c>
      <c r="E20" s="7">
        <f>IF(B20=0,"—",C20/B20)</f>
        <v/>
      </c>
      <c r="F20" s="8">
        <f>IF(B20=0,"",REPT("▓",MIN(20,INT(C20/B20*20)))&amp;REPT("░",MAX(0,20-MIN(20,INT(C20/B20*20)))))</f>
        <v/>
      </c>
      <c r="G20" s="9">
        <f>IF(C20="","⬜",IF(C20/B20&lt;0.8,"🟢",IF(C20/B20&lt;=1,"🟡","🔴")))</f>
        <v/>
      </c>
    </row>
    <row r="21" ht="18" customHeight="1">
      <c r="A21" s="4" t="inlineStr">
        <is>
          <t>Transport</t>
        </is>
      </c>
      <c r="B21" s="5" t="n"/>
      <c r="C21" s="5" t="n"/>
      <c r="D21" s="6">
        <f>B21-C21</f>
        <v/>
      </c>
      <c r="E21" s="7">
        <f>IF(B21=0,"—",C21/B21)</f>
        <v/>
      </c>
      <c r="F21" s="8">
        <f>IF(B21=0,"",REPT("▓",MIN(20,INT(C21/B21*20)))&amp;REPT("░",MAX(0,20-MIN(20,INT(C21/B21*20)))))</f>
        <v/>
      </c>
      <c r="G21" s="9">
        <f>IF(C21="","⬜",IF(C21/B21&lt;0.8,"🟢",IF(C21/B21&lt;=1,"🟡","🔴")))</f>
        <v/>
      </c>
    </row>
    <row r="22" ht="18" customHeight="1">
      <c r="A22" s="4" t="inlineStr">
        <is>
          <t>Santé</t>
        </is>
      </c>
      <c r="B22" s="5" t="n"/>
      <c r="C22" s="5" t="n"/>
      <c r="D22" s="6">
        <f>B22-C22</f>
        <v/>
      </c>
      <c r="E22" s="7">
        <f>IF(B22=0,"—",C22/B22)</f>
        <v/>
      </c>
      <c r="F22" s="8">
        <f>IF(B22=0,"",REPT("▓",MIN(20,INT(C22/B22*20)))&amp;REPT("░",MAX(0,20-MIN(20,INT(C22/B22*20)))))</f>
        <v/>
      </c>
      <c r="G22" s="9">
        <f>IF(C22="","⬜",IF(C22/B22&lt;0.8,"🟢",IF(C22/B22&lt;=1,"🟡","🔴")))</f>
        <v/>
      </c>
    </row>
    <row r="23" ht="18" customHeight="1">
      <c r="A23" s="4" t="inlineStr">
        <is>
          <t>Loisirs</t>
        </is>
      </c>
      <c r="B23" s="5" t="n"/>
      <c r="C23" s="5" t="n"/>
      <c r="D23" s="6">
        <f>B23-C23</f>
        <v/>
      </c>
      <c r="E23" s="7">
        <f>IF(B23=0,"—",C23/B23)</f>
        <v/>
      </c>
      <c r="F23" s="8">
        <f>IF(B23=0,"",REPT("▓",MIN(20,INT(C23/B23*20)))&amp;REPT("░",MAX(0,20-MIN(20,INT(C23/B23*20)))))</f>
        <v/>
      </c>
      <c r="G23" s="9">
        <f>IF(C23="","⬜",IF(C23/B23&lt;0.8,"🟢",IF(C23/B23&lt;=1,"🟡","🔴")))</f>
        <v/>
      </c>
    </row>
    <row r="24" ht="18" customHeight="1">
      <c r="A24" s="4" t="inlineStr">
        <is>
          <t>Shopping</t>
        </is>
      </c>
      <c r="B24" s="5" t="n"/>
      <c r="C24" s="5" t="n"/>
      <c r="D24" s="6">
        <f>B24-C24</f>
        <v/>
      </c>
      <c r="E24" s="7">
        <f>IF(B24=0,"—",C24/B24)</f>
        <v/>
      </c>
      <c r="F24" s="8">
        <f>IF(B24=0,"",REPT("▓",MIN(20,INT(C24/B24*20)))&amp;REPT("░",MAX(0,20-MIN(20,INT(C24/B24*20)))))</f>
        <v/>
      </c>
      <c r="G24" s="9">
        <f>IF(C24="","⬜",IF(C24/B24&lt;0.8,"🟢",IF(C24/B24&lt;=1,"🟡","🔴")))</f>
        <v/>
      </c>
    </row>
    <row r="25" ht="18" customHeight="1">
      <c r="A25" s="4" t="inlineStr">
        <is>
          <t>Restaurant</t>
        </is>
      </c>
      <c r="B25" s="5" t="n"/>
      <c r="C25" s="5" t="n"/>
      <c r="D25" s="6">
        <f>B25-C25</f>
        <v/>
      </c>
      <c r="E25" s="7">
        <f>IF(B25=0,"—",C25/B25)</f>
        <v/>
      </c>
      <c r="F25" s="8">
        <f>IF(B25=0,"",REPT("▓",MIN(20,INT(C25/B25*20)))&amp;REPT("░",MAX(0,20-MIN(20,INT(C25/B25*20)))))</f>
        <v/>
      </c>
      <c r="G25" s="9">
        <f>IF(C25="","⬜",IF(C25/B25&lt;0.8,"🟢",IF(C25/B25&lt;=1,"🟡","🔴")))</f>
        <v/>
      </c>
    </row>
    <row r="26" ht="18" customHeight="1">
      <c r="A26" s="4" t="inlineStr">
        <is>
          <t>Beauté</t>
        </is>
      </c>
      <c r="B26" s="5" t="n"/>
      <c r="C26" s="5" t="n"/>
      <c r="D26" s="6">
        <f>B26-C26</f>
        <v/>
      </c>
      <c r="E26" s="7">
        <f>IF(B26=0,"—",C26/B26)</f>
        <v/>
      </c>
      <c r="F26" s="8">
        <f>IF(B26=0,"",REPT("▓",MIN(20,INT(C26/B26*20)))&amp;REPT("░",MAX(0,20-MIN(20,INT(C26/B26*20)))))</f>
        <v/>
      </c>
      <c r="G26" s="9">
        <f>IF(C26="","⬜",IF(C26/B26&lt;0.8,"🟢",IF(C26/B26&lt;=1,"🟡","🔴")))</f>
        <v/>
      </c>
    </row>
    <row r="27" ht="18" customHeight="1">
      <c r="A27" s="4" t="inlineStr">
        <is>
          <t>Autre</t>
        </is>
      </c>
      <c r="B27" s="5" t="n"/>
      <c r="C27" s="5" t="n"/>
      <c r="D27" s="6">
        <f>B27-C27</f>
        <v/>
      </c>
      <c r="E27" s="7">
        <f>IF(B27=0,"—",C27/B27)</f>
        <v/>
      </c>
      <c r="F27" s="8">
        <f>IF(B27=0,"",REPT("▓",MIN(20,INT(C27/B27*20)))&amp;REPT("░",MAX(0,20-MIN(20,INT(C27/B27*20)))))</f>
        <v/>
      </c>
      <c r="G27" s="9">
        <f>IF(C27="","⬜",IF(C27/B27&lt;0.8,"🟢",IF(C27/B27&lt;=1,"🟡","🔴")))</f>
        <v/>
      </c>
    </row>
    <row r="28" ht="20" customHeight="1">
      <c r="A28" s="10" t="inlineStr">
        <is>
          <t>TOTAL</t>
        </is>
      </c>
      <c r="B28" s="11">
        <f>SUM(B20:B27)</f>
        <v/>
      </c>
      <c r="C28" s="11">
        <f>SUM(C20:C27)</f>
        <v/>
      </c>
      <c r="D28" s="11">
        <f>B28-C28</f>
        <v/>
      </c>
      <c r="E28" s="12">
        <f>IF(B28=0,"—",C28/B28)</f>
        <v/>
      </c>
      <c r="F28" s="13" t="n"/>
      <c r="G28" s="13" t="n"/>
    </row>
    <row r="29" ht="8" customHeight="1">
      <c r="A29" s="14" t="n"/>
      <c r="B29" s="14" t="n"/>
      <c r="C29" s="14" t="n"/>
      <c r="D29" s="14" t="n"/>
      <c r="E29" s="14" t="n"/>
      <c r="F29" s="14" t="n"/>
      <c r="G29" s="14" t="n"/>
    </row>
    <row r="30" ht="22" customHeight="1">
      <c r="A30" s="2" t="inlineStr">
        <is>
          <t>💳 CRÉDITS</t>
        </is>
      </c>
    </row>
    <row r="31" ht="18" customHeight="1">
      <c r="A31" s="3" t="inlineStr">
        <is>
          <t>Catégorie</t>
        </is>
      </c>
      <c r="B31" s="3" t="inlineStr">
        <is>
          <t>Budget Prévu</t>
        </is>
      </c>
      <c r="C31" s="3" t="inlineStr">
        <is>
          <t>Réel</t>
        </is>
      </c>
      <c r="D31" s="3" t="inlineStr">
        <is>
          <t>Écart</t>
        </is>
      </c>
      <c r="E31" s="3" t="inlineStr">
        <is>
          <t>%</t>
        </is>
      </c>
      <c r="F31" s="3" t="inlineStr">
        <is>
          <t>Progression</t>
        </is>
      </c>
      <c r="G31" s="3" t="inlineStr">
        <is>
          <t>✓</t>
        </is>
      </c>
    </row>
    <row r="32" ht="18" customHeight="1">
      <c r="A32" s="4" t="inlineStr">
        <is>
          <t>Crédit auto</t>
        </is>
      </c>
      <c r="B32" s="5" t="n"/>
      <c r="C32" s="5" t="n"/>
      <c r="D32" s="6">
        <f>B32-C32</f>
        <v/>
      </c>
      <c r="E32" s="7">
        <f>IF(B32=0,"—",C32/B32)</f>
        <v/>
      </c>
      <c r="F32" s="8">
        <f>IF(B32=0,"",REPT("▓",MIN(20,INT(C32/B32*20)))&amp;REPT("░",MAX(0,20-MIN(20,INT(C32/B32*20)))))</f>
        <v/>
      </c>
      <c r="G32" s="9">
        <f>IF(C32="","⬜",IF(C32/B32&lt;0.8,"🟢",IF(C32/B32&lt;=1,"🟡","🔴")))</f>
        <v/>
      </c>
    </row>
    <row r="33" ht="18" customHeight="1">
      <c r="A33" s="4" t="inlineStr">
        <is>
          <t>Crédit conso</t>
        </is>
      </c>
      <c r="B33" s="5" t="n"/>
      <c r="C33" s="5" t="n"/>
      <c r="D33" s="6">
        <f>B33-C33</f>
        <v/>
      </c>
      <c r="E33" s="7">
        <f>IF(B33=0,"—",C33/B33)</f>
        <v/>
      </c>
      <c r="F33" s="8">
        <f>IF(B33=0,"",REPT("▓",MIN(20,INT(C33/B33*20)))&amp;REPT("░",MAX(0,20-MIN(20,INT(C33/B33*20)))))</f>
        <v/>
      </c>
      <c r="G33" s="9">
        <f>IF(C33="","⬜",IF(C33/B33&lt;0.8,"🟢",IF(C33/B33&lt;=1,"🟡","🔴")))</f>
        <v/>
      </c>
    </row>
    <row r="34" ht="18" customHeight="1">
      <c r="A34" s="4" t="inlineStr">
        <is>
          <t>Autre crédit</t>
        </is>
      </c>
      <c r="B34" s="5" t="n"/>
      <c r="C34" s="5" t="n"/>
      <c r="D34" s="6">
        <f>B34-C34</f>
        <v/>
      </c>
      <c r="E34" s="7">
        <f>IF(B34=0,"—",C34/B34)</f>
        <v/>
      </c>
      <c r="F34" s="8">
        <f>IF(B34=0,"",REPT("▓",MIN(20,INT(C34/B34*20)))&amp;REPT("░",MAX(0,20-MIN(20,INT(C34/B34*20)))))</f>
        <v/>
      </c>
      <c r="G34" s="9">
        <f>IF(C34="","⬜",IF(C34/B34&lt;0.8,"🟢",IF(C34/B34&lt;=1,"🟡","🔴")))</f>
        <v/>
      </c>
    </row>
    <row r="35" ht="20" customHeight="1">
      <c r="A35" s="10" t="inlineStr">
        <is>
          <t>TOTAL</t>
        </is>
      </c>
      <c r="B35" s="11">
        <f>SUM(B32:B34)</f>
        <v/>
      </c>
      <c r="C35" s="11">
        <f>SUM(C32:C34)</f>
        <v/>
      </c>
      <c r="D35" s="11">
        <f>B35-C35</f>
        <v/>
      </c>
      <c r="E35" s="12">
        <f>IF(B35=0,"—",C35/B35)</f>
        <v/>
      </c>
      <c r="F35" s="13" t="n"/>
      <c r="G35" s="13" t="n"/>
    </row>
    <row r="36" ht="8" customHeight="1">
      <c r="A36" s="14" t="n"/>
      <c r="B36" s="14" t="n"/>
      <c r="C36" s="14" t="n"/>
      <c r="D36" s="14" t="n"/>
      <c r="E36" s="14" t="n"/>
      <c r="F36" s="14" t="n"/>
      <c r="G36" s="14" t="n"/>
    </row>
    <row r="37" ht="22" customHeight="1">
      <c r="A37" s="2" t="inlineStr">
        <is>
          <t>🏦 ÉPARGNE</t>
        </is>
      </c>
    </row>
    <row r="38" ht="18" customHeight="1">
      <c r="A38" s="3" t="inlineStr">
        <is>
          <t>Catégorie</t>
        </is>
      </c>
      <c r="B38" s="3" t="inlineStr">
        <is>
          <t>Budget Prévu</t>
        </is>
      </c>
      <c r="C38" s="3" t="inlineStr">
        <is>
          <t>Réel</t>
        </is>
      </c>
      <c r="D38" s="3" t="inlineStr">
        <is>
          <t>Écart</t>
        </is>
      </c>
      <c r="E38" s="3" t="inlineStr">
        <is>
          <t>%</t>
        </is>
      </c>
      <c r="F38" s="3" t="inlineStr">
        <is>
          <t>Progression</t>
        </is>
      </c>
      <c r="G38" s="3" t="inlineStr">
        <is>
          <t>✓</t>
        </is>
      </c>
    </row>
    <row r="39" ht="18" customHeight="1">
      <c r="A39" s="4" t="inlineStr">
        <is>
          <t>Livret A</t>
        </is>
      </c>
      <c r="B39" s="5" t="n"/>
      <c r="C39" s="5" t="n"/>
      <c r="D39" s="6">
        <f>B39-C39</f>
        <v/>
      </c>
      <c r="E39" s="7">
        <f>IF(B39=0,"—",C39/B39)</f>
        <v/>
      </c>
      <c r="F39" s="8">
        <f>IF(B39=0,"",REPT("▓",MIN(20,INT(C39/B39*20)))&amp;REPT("░",MAX(0,20-MIN(20,INT(C39/B39*20)))))</f>
        <v/>
      </c>
      <c r="G39" s="9">
        <f>IF(C39="","⬜",IF(C39/B39&lt;0.8,"🟢",IF(C39/B39&lt;=1,"🟡","🔴")))</f>
        <v/>
      </c>
    </row>
    <row r="40" ht="18" customHeight="1">
      <c r="A40" s="4" t="inlineStr">
        <is>
          <t>PEL</t>
        </is>
      </c>
      <c r="B40" s="5" t="n"/>
      <c r="C40" s="5" t="n"/>
      <c r="D40" s="6">
        <f>B40-C40</f>
        <v/>
      </c>
      <c r="E40" s="7">
        <f>IF(B40=0,"—",C40/B40)</f>
        <v/>
      </c>
      <c r="F40" s="8">
        <f>IF(B40=0,"",REPT("▓",MIN(20,INT(C40/B40*20)))&amp;REPT("░",MAX(0,20-MIN(20,INT(C40/B40*20)))))</f>
        <v/>
      </c>
      <c r="G40" s="9">
        <f>IF(C40="","⬜",IF(C40/B40&lt;0.8,"🟢",IF(C40/B40&lt;=1,"🟡","🔴")))</f>
        <v/>
      </c>
    </row>
    <row r="41" ht="18" customHeight="1">
      <c r="A41" s="4" t="inlineStr">
        <is>
          <t>Assurance-vie</t>
        </is>
      </c>
      <c r="B41" s="5" t="n"/>
      <c r="C41" s="5" t="n"/>
      <c r="D41" s="6">
        <f>B41-C41</f>
        <v/>
      </c>
      <c r="E41" s="7">
        <f>IF(B41=0,"—",C41/B41)</f>
        <v/>
      </c>
      <c r="F41" s="8">
        <f>IF(B41=0,"",REPT("▓",MIN(20,INT(C41/B41*20)))&amp;REPT("░",MAX(0,20-MIN(20,INT(C41/B41*20)))))</f>
        <v/>
      </c>
      <c r="G41" s="9">
        <f>IF(C41="","⬜",IF(C41/B41&lt;0.8,"🟢",IF(C41/B41&lt;=1,"🟡","🔴")))</f>
        <v/>
      </c>
    </row>
    <row r="42" ht="18" customHeight="1">
      <c r="A42" s="4" t="inlineStr">
        <is>
          <t>Investissements</t>
        </is>
      </c>
      <c r="B42" s="5" t="n"/>
      <c r="C42" s="5" t="n"/>
      <c r="D42" s="6">
        <f>B42-C42</f>
        <v/>
      </c>
      <c r="E42" s="7">
        <f>IF(B42=0,"—",C42/B42)</f>
        <v/>
      </c>
      <c r="F42" s="8">
        <f>IF(B42=0,"",REPT("▓",MIN(20,INT(C42/B42*20)))&amp;REPT("░",MAX(0,20-MIN(20,INT(C42/B42*20)))))</f>
        <v/>
      </c>
      <c r="G42" s="9">
        <f>IF(C42="","⬜",IF(C42/B42&lt;0.8,"🟢",IF(C42/B42&lt;=1,"🟡","🔴")))</f>
        <v/>
      </c>
    </row>
    <row r="43" ht="20" customHeight="1">
      <c r="A43" s="10" t="inlineStr">
        <is>
          <t>TOTAL</t>
        </is>
      </c>
      <c r="B43" s="11">
        <f>SUM(B39:B42)</f>
        <v/>
      </c>
      <c r="C43" s="11">
        <f>SUM(C39:C42)</f>
        <v/>
      </c>
      <c r="D43" s="11">
        <f>B43-C43</f>
        <v/>
      </c>
      <c r="E43" s="12">
        <f>IF(B43=0,"—",C43/B43)</f>
        <v/>
      </c>
      <c r="F43" s="13" t="n"/>
      <c r="G43" s="13" t="n"/>
    </row>
    <row r="44" ht="8" customHeight="1">
      <c r="A44" s="14" t="n"/>
      <c r="B44" s="14" t="n"/>
      <c r="C44" s="14" t="n"/>
      <c r="D44" s="14" t="n"/>
      <c r="E44" s="14" t="n"/>
      <c r="F44" s="14" t="n"/>
      <c r="G44" s="14" t="n"/>
    </row>
    <row r="46" ht="22" customHeight="1">
      <c r="A46" s="15" t="inlineStr">
        <is>
          <t>Total Revenus</t>
        </is>
      </c>
      <c r="B46" s="13" t="n"/>
      <c r="C46" s="16">
        <f>C8</f>
        <v/>
      </c>
      <c r="D46" s="13" t="n"/>
      <c r="E46" s="13" t="n"/>
      <c r="F46" s="13" t="n"/>
      <c r="G46" s="13" t="n"/>
    </row>
    <row r="47" ht="22" customHeight="1">
      <c r="A47" s="15" t="inlineStr">
        <is>
          <t>Total Dépenses</t>
        </is>
      </c>
      <c r="B47" s="13" t="n"/>
      <c r="C47" s="16">
        <f>C16+C28+C35</f>
        <v/>
      </c>
      <c r="D47" s="13" t="n"/>
      <c r="E47" s="13" t="n"/>
      <c r="F47" s="13" t="n"/>
      <c r="G47" s="13" t="n"/>
    </row>
    <row r="48" ht="22" customHeight="1">
      <c r="A48" s="17" t="inlineStr">
        <is>
          <t>Solde du mois</t>
        </is>
      </c>
      <c r="B48" s="18" t="n"/>
      <c r="C48" s="19">
        <f>C46-C47</f>
        <v/>
      </c>
      <c r="D48" s="18" t="n"/>
      <c r="E48" s="18" t="n"/>
      <c r="F48" s="18" t="n"/>
      <c r="G48" s="18" t="n"/>
    </row>
    <row r="49" ht="22" customHeight="1">
      <c r="A49" s="17" t="inlineStr">
        <is>
          <t>Taux d'épargne</t>
        </is>
      </c>
      <c r="B49" s="18" t="n"/>
      <c r="C49" s="20">
        <f>IF(C46=0,"—",C48/C46)</f>
        <v/>
      </c>
      <c r="D49" s="18" t="n"/>
      <c r="E49" s="18" t="n"/>
      <c r="F49" s="18" t="n"/>
      <c r="G49" s="18" t="n"/>
    </row>
    <row r="50" ht="22" customHeight="1">
      <c r="A50" s="15" t="inlineStr">
        <is>
          <t>Objectif Épargne</t>
        </is>
      </c>
      <c r="B50" s="13" t="n"/>
      <c r="C50" s="21" t="n"/>
      <c r="D50" s="13" t="n"/>
      <c r="E50" s="13" t="n"/>
      <c r="F50" s="13" t="n"/>
      <c r="G50" s="13" t="n"/>
    </row>
  </sheetData>
  <mergeCells count="6">
    <mergeCell ref="A1:G1"/>
    <mergeCell ref="A18:G18"/>
    <mergeCell ref="A30:G30"/>
    <mergeCell ref="A2:G2"/>
    <mergeCell ref="A10:G10"/>
    <mergeCell ref="A37:G3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3460"/>
    <outlinePr summaryBelow="1" summaryRight="1"/>
    <pageSetUpPr/>
  </sheetPr>
  <dimension ref="A1:G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0" customWidth="1" min="5" max="5"/>
    <col width="22" customWidth="1" min="6" max="6"/>
    <col width="6" customWidth="1" min="7" max="7"/>
  </cols>
  <sheetData>
    <row r="1" ht="36" customHeight="1">
      <c r="A1" s="1" t="inlineStr">
        <is>
          <t>📅 JUILLET</t>
        </is>
      </c>
    </row>
    <row r="2" ht="22" customHeight="1">
      <c r="A2" s="2" t="inlineStr">
        <is>
          <t>💰 REVENUS</t>
        </is>
      </c>
    </row>
    <row r="3" ht="18" customHeight="1">
      <c r="A3" s="3" t="inlineStr">
        <is>
          <t>Catégorie</t>
        </is>
      </c>
      <c r="B3" s="3" t="inlineStr">
        <is>
          <t>Budget Prévu</t>
        </is>
      </c>
      <c r="C3" s="3" t="inlineStr">
        <is>
          <t>Réel</t>
        </is>
      </c>
      <c r="D3" s="3" t="inlineStr">
        <is>
          <t>Écart</t>
        </is>
      </c>
      <c r="E3" s="3" t="inlineStr">
        <is>
          <t>%</t>
        </is>
      </c>
      <c r="F3" s="3" t="inlineStr">
        <is>
          <t>Progression</t>
        </is>
      </c>
      <c r="G3" s="3" t="inlineStr">
        <is>
          <t>✓</t>
        </is>
      </c>
    </row>
    <row r="4" ht="18" customHeight="1">
      <c r="A4" s="4" t="inlineStr">
        <is>
          <t>Salaire</t>
        </is>
      </c>
      <c r="B4" s="5" t="n"/>
      <c r="C4" s="5" t="n"/>
      <c r="D4" s="6">
        <f>B4-C4</f>
        <v/>
      </c>
      <c r="E4" s="7">
        <f>IF(B4=0,"—",C4/B4)</f>
        <v/>
      </c>
      <c r="F4" s="8">
        <f>IF(B4=0,"",REPT("▓",MIN(20,INT(C4/B4*20)))&amp;REPT("░",MAX(0,20-MIN(20,INT(C4/B4*20)))))</f>
        <v/>
      </c>
      <c r="G4" s="9">
        <f>IF(C4="","⬜",IF(C4/B4&lt;0.8,"🟢",IF(C4/B4&lt;=1,"🟡","🔴")))</f>
        <v/>
      </c>
    </row>
    <row r="5" ht="18" customHeight="1">
      <c r="A5" s="4" t="inlineStr">
        <is>
          <t>Freelance</t>
        </is>
      </c>
      <c r="B5" s="5" t="n"/>
      <c r="C5" s="5" t="n"/>
      <c r="D5" s="6">
        <f>B5-C5</f>
        <v/>
      </c>
      <c r="E5" s="7">
        <f>IF(B5=0,"—",C5/B5)</f>
        <v/>
      </c>
      <c r="F5" s="8">
        <f>IF(B5=0,"",REPT("▓",MIN(20,INT(C5/B5*20)))&amp;REPT("░",MAX(0,20-MIN(20,INT(C5/B5*20)))))</f>
        <v/>
      </c>
      <c r="G5" s="9">
        <f>IF(C5="","⬜",IF(C5/B5&lt;0.8,"🟢",IF(C5/B5&lt;=1,"🟡","🔴")))</f>
        <v/>
      </c>
    </row>
    <row r="6" ht="18" customHeight="1">
      <c r="A6" s="4" t="inlineStr">
        <is>
          <t>Aides/APL</t>
        </is>
      </c>
      <c r="B6" s="5" t="n"/>
      <c r="C6" s="5" t="n"/>
      <c r="D6" s="6">
        <f>B6-C6</f>
        <v/>
      </c>
      <c r="E6" s="7">
        <f>IF(B6=0,"—",C6/B6)</f>
        <v/>
      </c>
      <c r="F6" s="8">
        <f>IF(B6=0,"",REPT("▓",MIN(20,INT(C6/B6*20)))&amp;REPT("░",MAX(0,20-MIN(20,INT(C6/B6*20)))))</f>
        <v/>
      </c>
      <c r="G6" s="9">
        <f>IF(C6="","⬜",IF(C6/B6&lt;0.8,"🟢",IF(C6/B6&lt;=1,"🟡","🔴")))</f>
        <v/>
      </c>
    </row>
    <row r="7" ht="18" customHeight="1">
      <c r="A7" s="4" t="inlineStr">
        <is>
          <t>Autres revenus</t>
        </is>
      </c>
      <c r="B7" s="5" t="n"/>
      <c r="C7" s="5" t="n"/>
      <c r="D7" s="6">
        <f>B7-C7</f>
        <v/>
      </c>
      <c r="E7" s="7">
        <f>IF(B7=0,"—",C7/B7)</f>
        <v/>
      </c>
      <c r="F7" s="8">
        <f>IF(B7=0,"",REPT("▓",MIN(20,INT(C7/B7*20)))&amp;REPT("░",MAX(0,20-MIN(20,INT(C7/B7*20)))))</f>
        <v/>
      </c>
      <c r="G7" s="9">
        <f>IF(C7="","⬜",IF(C7/B7&lt;0.8,"🟢",IF(C7/B7&lt;=1,"🟡","🔴")))</f>
        <v/>
      </c>
    </row>
    <row r="8" ht="20" customHeight="1">
      <c r="A8" s="10" t="inlineStr">
        <is>
          <t>TOTAL</t>
        </is>
      </c>
      <c r="B8" s="11">
        <f>SUM(B4:B7)</f>
        <v/>
      </c>
      <c r="C8" s="11">
        <f>SUM(C4:C7)</f>
        <v/>
      </c>
      <c r="D8" s="11">
        <f>B8-C8</f>
        <v/>
      </c>
      <c r="E8" s="12">
        <f>IF(B8=0,"—",C8/B8)</f>
        <v/>
      </c>
      <c r="F8" s="13" t="n"/>
      <c r="G8" s="13" t="n"/>
    </row>
    <row r="9" ht="8" customHeight="1">
      <c r="A9" s="14" t="n"/>
      <c r="B9" s="14" t="n"/>
      <c r="C9" s="14" t="n"/>
      <c r="D9" s="14" t="n"/>
      <c r="E9" s="14" t="n"/>
      <c r="F9" s="14" t="n"/>
      <c r="G9" s="14" t="n"/>
    </row>
    <row r="10" ht="22" customHeight="1">
      <c r="A10" s="2" t="inlineStr">
        <is>
          <t>🏠 DÉPENSES FIXES</t>
        </is>
      </c>
    </row>
    <row r="11" ht="18" customHeight="1">
      <c r="A11" s="3" t="inlineStr">
        <is>
          <t>Catégorie</t>
        </is>
      </c>
      <c r="B11" s="3" t="inlineStr">
        <is>
          <t>Budget Prévu</t>
        </is>
      </c>
      <c r="C11" s="3" t="inlineStr">
        <is>
          <t>Réel</t>
        </is>
      </c>
      <c r="D11" s="3" t="inlineStr">
        <is>
          <t>Écart</t>
        </is>
      </c>
      <c r="E11" s="3" t="inlineStr">
        <is>
          <t>%</t>
        </is>
      </c>
      <c r="F11" s="3" t="inlineStr">
        <is>
          <t>Progression</t>
        </is>
      </c>
      <c r="G11" s="3" t="inlineStr">
        <is>
          <t>✓</t>
        </is>
      </c>
    </row>
    <row r="12" ht="18" customHeight="1">
      <c r="A12" s="4" t="inlineStr">
        <is>
          <t>Loyer/Crédit</t>
        </is>
      </c>
      <c r="B12" s="5" t="n"/>
      <c r="C12" s="5" t="n"/>
      <c r="D12" s="6">
        <f>B12-C12</f>
        <v/>
      </c>
      <c r="E12" s="7">
        <f>IF(B12=0,"—",C12/B12)</f>
        <v/>
      </c>
      <c r="F12" s="8">
        <f>IF(B12=0,"",REPT("▓",MIN(20,INT(C12/B12*20)))&amp;REPT("░",MAX(0,20-MIN(20,INT(C12/B12*20)))))</f>
        <v/>
      </c>
      <c r="G12" s="9">
        <f>IF(C12="","⬜",IF(C12/B12&lt;0.8,"🟢",IF(C12/B12&lt;=1,"🟡","🔴")))</f>
        <v/>
      </c>
    </row>
    <row r="13" ht="18" customHeight="1">
      <c r="A13" s="4" t="inlineStr">
        <is>
          <t>Assurances</t>
        </is>
      </c>
      <c r="B13" s="5" t="n"/>
      <c r="C13" s="5" t="n"/>
      <c r="D13" s="6">
        <f>B13-C13</f>
        <v/>
      </c>
      <c r="E13" s="7">
        <f>IF(B13=0,"—",C13/B13)</f>
        <v/>
      </c>
      <c r="F13" s="8">
        <f>IF(B13=0,"",REPT("▓",MIN(20,INT(C13/B13*20)))&amp;REPT("░",MAX(0,20-MIN(20,INT(C13/B13*20)))))</f>
        <v/>
      </c>
      <c r="G13" s="9">
        <f>IF(C13="","⬜",IF(C13/B13&lt;0.8,"🟢",IF(C13/B13&lt;=1,"🟡","🔴")))</f>
        <v/>
      </c>
    </row>
    <row r="14" ht="18" customHeight="1">
      <c r="A14" s="4" t="inlineStr">
        <is>
          <t>Abonnements</t>
        </is>
      </c>
      <c r="B14" s="5" t="n"/>
      <c r="C14" s="5" t="n"/>
      <c r="D14" s="6">
        <f>B14-C14</f>
        <v/>
      </c>
      <c r="E14" s="7">
        <f>IF(B14=0,"—",C14/B14)</f>
        <v/>
      </c>
      <c r="F14" s="8">
        <f>IF(B14=0,"",REPT("▓",MIN(20,INT(C14/B14*20)))&amp;REPT("░",MAX(0,20-MIN(20,INT(C14/B14*20)))))</f>
        <v/>
      </c>
      <c r="G14" s="9">
        <f>IF(C14="","⬜",IF(C14/B14&lt;0.8,"🟢",IF(C14/B14&lt;=1,"🟡","🔴")))</f>
        <v/>
      </c>
    </row>
    <row r="15" ht="18" customHeight="1">
      <c r="A15" s="4" t="inlineStr">
        <is>
          <t>Téléphone/Internet</t>
        </is>
      </c>
      <c r="B15" s="5" t="n"/>
      <c r="C15" s="5" t="n"/>
      <c r="D15" s="6">
        <f>B15-C15</f>
        <v/>
      </c>
      <c r="E15" s="7">
        <f>IF(B15=0,"—",C15/B15)</f>
        <v/>
      </c>
      <c r="F15" s="8">
        <f>IF(B15=0,"",REPT("▓",MIN(20,INT(C15/B15*20)))&amp;REPT("░",MAX(0,20-MIN(20,INT(C15/B15*20)))))</f>
        <v/>
      </c>
      <c r="G15" s="9">
        <f>IF(C15="","⬜",IF(C15/B15&lt;0.8,"🟢",IF(C15/B15&lt;=1,"🟡","🔴")))</f>
        <v/>
      </c>
    </row>
    <row r="16" ht="20" customHeight="1">
      <c r="A16" s="10" t="inlineStr">
        <is>
          <t>TOTAL</t>
        </is>
      </c>
      <c r="B16" s="11">
        <f>SUM(B12:B15)</f>
        <v/>
      </c>
      <c r="C16" s="11">
        <f>SUM(C12:C15)</f>
        <v/>
      </c>
      <c r="D16" s="11">
        <f>B16-C16</f>
        <v/>
      </c>
      <c r="E16" s="12">
        <f>IF(B16=0,"—",C16/B16)</f>
        <v/>
      </c>
      <c r="F16" s="13" t="n"/>
      <c r="G16" s="13" t="n"/>
    </row>
    <row r="17" ht="8" customHeight="1">
      <c r="A17" s="14" t="n"/>
      <c r="B17" s="14" t="n"/>
      <c r="C17" s="14" t="n"/>
      <c r="D17" s="14" t="n"/>
      <c r="E17" s="14" t="n"/>
      <c r="F17" s="14" t="n"/>
      <c r="G17" s="14" t="n"/>
    </row>
    <row r="18" ht="22" customHeight="1">
      <c r="A18" s="2" t="inlineStr">
        <is>
          <t>🛒 DÉPENSES VARIABLES</t>
        </is>
      </c>
    </row>
    <row r="19" ht="18" customHeight="1">
      <c r="A19" s="3" t="inlineStr">
        <is>
          <t>Catégorie</t>
        </is>
      </c>
      <c r="B19" s="3" t="inlineStr">
        <is>
          <t>Budget Prévu</t>
        </is>
      </c>
      <c r="C19" s="3" t="inlineStr">
        <is>
          <t>Réel</t>
        </is>
      </c>
      <c r="D19" s="3" t="inlineStr">
        <is>
          <t>Écart</t>
        </is>
      </c>
      <c r="E19" s="3" t="inlineStr">
        <is>
          <t>%</t>
        </is>
      </c>
      <c r="F19" s="3" t="inlineStr">
        <is>
          <t>Progression</t>
        </is>
      </c>
      <c r="G19" s="3" t="inlineStr">
        <is>
          <t>✓</t>
        </is>
      </c>
    </row>
    <row r="20" ht="18" customHeight="1">
      <c r="A20" s="4" t="inlineStr">
        <is>
          <t>Alimentation</t>
        </is>
      </c>
      <c r="B20" s="5" t="n"/>
      <c r="C20" s="5" t="n"/>
      <c r="D20" s="6">
        <f>B20-C20</f>
        <v/>
      </c>
      <c r="E20" s="7">
        <f>IF(B20=0,"—",C20/B20)</f>
        <v/>
      </c>
      <c r="F20" s="8">
        <f>IF(B20=0,"",REPT("▓",MIN(20,INT(C20/B20*20)))&amp;REPT("░",MAX(0,20-MIN(20,INT(C20/B20*20)))))</f>
        <v/>
      </c>
      <c r="G20" s="9">
        <f>IF(C20="","⬜",IF(C20/B20&lt;0.8,"🟢",IF(C20/B20&lt;=1,"🟡","🔴")))</f>
        <v/>
      </c>
    </row>
    <row r="21" ht="18" customHeight="1">
      <c r="A21" s="4" t="inlineStr">
        <is>
          <t>Transport</t>
        </is>
      </c>
      <c r="B21" s="5" t="n"/>
      <c r="C21" s="5" t="n"/>
      <c r="D21" s="6">
        <f>B21-C21</f>
        <v/>
      </c>
      <c r="E21" s="7">
        <f>IF(B21=0,"—",C21/B21)</f>
        <v/>
      </c>
      <c r="F21" s="8">
        <f>IF(B21=0,"",REPT("▓",MIN(20,INT(C21/B21*20)))&amp;REPT("░",MAX(0,20-MIN(20,INT(C21/B21*20)))))</f>
        <v/>
      </c>
      <c r="G21" s="9">
        <f>IF(C21="","⬜",IF(C21/B21&lt;0.8,"🟢",IF(C21/B21&lt;=1,"🟡","🔴")))</f>
        <v/>
      </c>
    </row>
    <row r="22" ht="18" customHeight="1">
      <c r="A22" s="4" t="inlineStr">
        <is>
          <t>Santé</t>
        </is>
      </c>
      <c r="B22" s="5" t="n"/>
      <c r="C22" s="5" t="n"/>
      <c r="D22" s="6">
        <f>B22-C22</f>
        <v/>
      </c>
      <c r="E22" s="7">
        <f>IF(B22=0,"—",C22/B22)</f>
        <v/>
      </c>
      <c r="F22" s="8">
        <f>IF(B22=0,"",REPT("▓",MIN(20,INT(C22/B22*20)))&amp;REPT("░",MAX(0,20-MIN(20,INT(C22/B22*20)))))</f>
        <v/>
      </c>
      <c r="G22" s="9">
        <f>IF(C22="","⬜",IF(C22/B22&lt;0.8,"🟢",IF(C22/B22&lt;=1,"🟡","🔴")))</f>
        <v/>
      </c>
    </row>
    <row r="23" ht="18" customHeight="1">
      <c r="A23" s="4" t="inlineStr">
        <is>
          <t>Loisirs</t>
        </is>
      </c>
      <c r="B23" s="5" t="n"/>
      <c r="C23" s="5" t="n"/>
      <c r="D23" s="6">
        <f>B23-C23</f>
        <v/>
      </c>
      <c r="E23" s="7">
        <f>IF(B23=0,"—",C23/B23)</f>
        <v/>
      </c>
      <c r="F23" s="8">
        <f>IF(B23=0,"",REPT("▓",MIN(20,INT(C23/B23*20)))&amp;REPT("░",MAX(0,20-MIN(20,INT(C23/B23*20)))))</f>
        <v/>
      </c>
      <c r="G23" s="9">
        <f>IF(C23="","⬜",IF(C23/B23&lt;0.8,"🟢",IF(C23/B23&lt;=1,"🟡","🔴")))</f>
        <v/>
      </c>
    </row>
    <row r="24" ht="18" customHeight="1">
      <c r="A24" s="4" t="inlineStr">
        <is>
          <t>Shopping</t>
        </is>
      </c>
      <c r="B24" s="5" t="n"/>
      <c r="C24" s="5" t="n"/>
      <c r="D24" s="6">
        <f>B24-C24</f>
        <v/>
      </c>
      <c r="E24" s="7">
        <f>IF(B24=0,"—",C24/B24)</f>
        <v/>
      </c>
      <c r="F24" s="8">
        <f>IF(B24=0,"",REPT("▓",MIN(20,INT(C24/B24*20)))&amp;REPT("░",MAX(0,20-MIN(20,INT(C24/B24*20)))))</f>
        <v/>
      </c>
      <c r="G24" s="9">
        <f>IF(C24="","⬜",IF(C24/B24&lt;0.8,"🟢",IF(C24/B24&lt;=1,"🟡","🔴")))</f>
        <v/>
      </c>
    </row>
    <row r="25" ht="18" customHeight="1">
      <c r="A25" s="4" t="inlineStr">
        <is>
          <t>Restaurant</t>
        </is>
      </c>
      <c r="B25" s="5" t="n"/>
      <c r="C25" s="5" t="n"/>
      <c r="D25" s="6">
        <f>B25-C25</f>
        <v/>
      </c>
      <c r="E25" s="7">
        <f>IF(B25=0,"—",C25/B25)</f>
        <v/>
      </c>
      <c r="F25" s="8">
        <f>IF(B25=0,"",REPT("▓",MIN(20,INT(C25/B25*20)))&amp;REPT("░",MAX(0,20-MIN(20,INT(C25/B25*20)))))</f>
        <v/>
      </c>
      <c r="G25" s="9">
        <f>IF(C25="","⬜",IF(C25/B25&lt;0.8,"🟢",IF(C25/B25&lt;=1,"🟡","🔴")))</f>
        <v/>
      </c>
    </row>
    <row r="26" ht="18" customHeight="1">
      <c r="A26" s="4" t="inlineStr">
        <is>
          <t>Beauté</t>
        </is>
      </c>
      <c r="B26" s="5" t="n"/>
      <c r="C26" s="5" t="n"/>
      <c r="D26" s="6">
        <f>B26-C26</f>
        <v/>
      </c>
      <c r="E26" s="7">
        <f>IF(B26=0,"—",C26/B26)</f>
        <v/>
      </c>
      <c r="F26" s="8">
        <f>IF(B26=0,"",REPT("▓",MIN(20,INT(C26/B26*20)))&amp;REPT("░",MAX(0,20-MIN(20,INT(C26/B26*20)))))</f>
        <v/>
      </c>
      <c r="G26" s="9">
        <f>IF(C26="","⬜",IF(C26/B26&lt;0.8,"🟢",IF(C26/B26&lt;=1,"🟡","🔴")))</f>
        <v/>
      </c>
    </row>
    <row r="27" ht="18" customHeight="1">
      <c r="A27" s="4" t="inlineStr">
        <is>
          <t>Autre</t>
        </is>
      </c>
      <c r="B27" s="5" t="n"/>
      <c r="C27" s="5" t="n"/>
      <c r="D27" s="6">
        <f>B27-C27</f>
        <v/>
      </c>
      <c r="E27" s="7">
        <f>IF(B27=0,"—",C27/B27)</f>
        <v/>
      </c>
      <c r="F27" s="8">
        <f>IF(B27=0,"",REPT("▓",MIN(20,INT(C27/B27*20)))&amp;REPT("░",MAX(0,20-MIN(20,INT(C27/B27*20)))))</f>
        <v/>
      </c>
      <c r="G27" s="9">
        <f>IF(C27="","⬜",IF(C27/B27&lt;0.8,"🟢",IF(C27/B27&lt;=1,"🟡","🔴")))</f>
        <v/>
      </c>
    </row>
    <row r="28" ht="20" customHeight="1">
      <c r="A28" s="10" t="inlineStr">
        <is>
          <t>TOTAL</t>
        </is>
      </c>
      <c r="B28" s="11">
        <f>SUM(B20:B27)</f>
        <v/>
      </c>
      <c r="C28" s="11">
        <f>SUM(C20:C27)</f>
        <v/>
      </c>
      <c r="D28" s="11">
        <f>B28-C28</f>
        <v/>
      </c>
      <c r="E28" s="12">
        <f>IF(B28=0,"—",C28/B28)</f>
        <v/>
      </c>
      <c r="F28" s="13" t="n"/>
      <c r="G28" s="13" t="n"/>
    </row>
    <row r="29" ht="8" customHeight="1">
      <c r="A29" s="14" t="n"/>
      <c r="B29" s="14" t="n"/>
      <c r="C29" s="14" t="n"/>
      <c r="D29" s="14" t="n"/>
      <c r="E29" s="14" t="n"/>
      <c r="F29" s="14" t="n"/>
      <c r="G29" s="14" t="n"/>
    </row>
    <row r="30" ht="22" customHeight="1">
      <c r="A30" s="2" t="inlineStr">
        <is>
          <t>💳 CRÉDITS</t>
        </is>
      </c>
    </row>
    <row r="31" ht="18" customHeight="1">
      <c r="A31" s="3" t="inlineStr">
        <is>
          <t>Catégorie</t>
        </is>
      </c>
      <c r="B31" s="3" t="inlineStr">
        <is>
          <t>Budget Prévu</t>
        </is>
      </c>
      <c r="C31" s="3" t="inlineStr">
        <is>
          <t>Réel</t>
        </is>
      </c>
      <c r="D31" s="3" t="inlineStr">
        <is>
          <t>Écart</t>
        </is>
      </c>
      <c r="E31" s="3" t="inlineStr">
        <is>
          <t>%</t>
        </is>
      </c>
      <c r="F31" s="3" t="inlineStr">
        <is>
          <t>Progression</t>
        </is>
      </c>
      <c r="G31" s="3" t="inlineStr">
        <is>
          <t>✓</t>
        </is>
      </c>
    </row>
    <row r="32" ht="18" customHeight="1">
      <c r="A32" s="4" t="inlineStr">
        <is>
          <t>Crédit auto</t>
        </is>
      </c>
      <c r="B32" s="5" t="n"/>
      <c r="C32" s="5" t="n"/>
      <c r="D32" s="6">
        <f>B32-C32</f>
        <v/>
      </c>
      <c r="E32" s="7">
        <f>IF(B32=0,"—",C32/B32)</f>
        <v/>
      </c>
      <c r="F32" s="8">
        <f>IF(B32=0,"",REPT("▓",MIN(20,INT(C32/B32*20)))&amp;REPT("░",MAX(0,20-MIN(20,INT(C32/B32*20)))))</f>
        <v/>
      </c>
      <c r="G32" s="9">
        <f>IF(C32="","⬜",IF(C32/B32&lt;0.8,"🟢",IF(C32/B32&lt;=1,"🟡","🔴")))</f>
        <v/>
      </c>
    </row>
    <row r="33" ht="18" customHeight="1">
      <c r="A33" s="4" t="inlineStr">
        <is>
          <t>Crédit conso</t>
        </is>
      </c>
      <c r="B33" s="5" t="n"/>
      <c r="C33" s="5" t="n"/>
      <c r="D33" s="6">
        <f>B33-C33</f>
        <v/>
      </c>
      <c r="E33" s="7">
        <f>IF(B33=0,"—",C33/B33)</f>
        <v/>
      </c>
      <c r="F33" s="8">
        <f>IF(B33=0,"",REPT("▓",MIN(20,INT(C33/B33*20)))&amp;REPT("░",MAX(0,20-MIN(20,INT(C33/B33*20)))))</f>
        <v/>
      </c>
      <c r="G33" s="9">
        <f>IF(C33="","⬜",IF(C33/B33&lt;0.8,"🟢",IF(C33/B33&lt;=1,"🟡","🔴")))</f>
        <v/>
      </c>
    </row>
    <row r="34" ht="18" customHeight="1">
      <c r="A34" s="4" t="inlineStr">
        <is>
          <t>Autre crédit</t>
        </is>
      </c>
      <c r="B34" s="5" t="n"/>
      <c r="C34" s="5" t="n"/>
      <c r="D34" s="6">
        <f>B34-C34</f>
        <v/>
      </c>
      <c r="E34" s="7">
        <f>IF(B34=0,"—",C34/B34)</f>
        <v/>
      </c>
      <c r="F34" s="8">
        <f>IF(B34=0,"",REPT("▓",MIN(20,INT(C34/B34*20)))&amp;REPT("░",MAX(0,20-MIN(20,INT(C34/B34*20)))))</f>
        <v/>
      </c>
      <c r="G34" s="9">
        <f>IF(C34="","⬜",IF(C34/B34&lt;0.8,"🟢",IF(C34/B34&lt;=1,"🟡","🔴")))</f>
        <v/>
      </c>
    </row>
    <row r="35" ht="20" customHeight="1">
      <c r="A35" s="10" t="inlineStr">
        <is>
          <t>TOTAL</t>
        </is>
      </c>
      <c r="B35" s="11">
        <f>SUM(B32:B34)</f>
        <v/>
      </c>
      <c r="C35" s="11">
        <f>SUM(C32:C34)</f>
        <v/>
      </c>
      <c r="D35" s="11">
        <f>B35-C35</f>
        <v/>
      </c>
      <c r="E35" s="12">
        <f>IF(B35=0,"—",C35/B35)</f>
        <v/>
      </c>
      <c r="F35" s="13" t="n"/>
      <c r="G35" s="13" t="n"/>
    </row>
    <row r="36" ht="8" customHeight="1">
      <c r="A36" s="14" t="n"/>
      <c r="B36" s="14" t="n"/>
      <c r="C36" s="14" t="n"/>
      <c r="D36" s="14" t="n"/>
      <c r="E36" s="14" t="n"/>
      <c r="F36" s="14" t="n"/>
      <c r="G36" s="14" t="n"/>
    </row>
    <row r="37" ht="22" customHeight="1">
      <c r="A37" s="2" t="inlineStr">
        <is>
          <t>🏦 ÉPARGNE</t>
        </is>
      </c>
    </row>
    <row r="38" ht="18" customHeight="1">
      <c r="A38" s="3" t="inlineStr">
        <is>
          <t>Catégorie</t>
        </is>
      </c>
      <c r="B38" s="3" t="inlineStr">
        <is>
          <t>Budget Prévu</t>
        </is>
      </c>
      <c r="C38" s="3" t="inlineStr">
        <is>
          <t>Réel</t>
        </is>
      </c>
      <c r="D38" s="3" t="inlineStr">
        <is>
          <t>Écart</t>
        </is>
      </c>
      <c r="E38" s="3" t="inlineStr">
        <is>
          <t>%</t>
        </is>
      </c>
      <c r="F38" s="3" t="inlineStr">
        <is>
          <t>Progression</t>
        </is>
      </c>
      <c r="G38" s="3" t="inlineStr">
        <is>
          <t>✓</t>
        </is>
      </c>
    </row>
    <row r="39" ht="18" customHeight="1">
      <c r="A39" s="4" t="inlineStr">
        <is>
          <t>Livret A</t>
        </is>
      </c>
      <c r="B39" s="5" t="n"/>
      <c r="C39" s="5" t="n"/>
      <c r="D39" s="6">
        <f>B39-C39</f>
        <v/>
      </c>
      <c r="E39" s="7">
        <f>IF(B39=0,"—",C39/B39)</f>
        <v/>
      </c>
      <c r="F39" s="8">
        <f>IF(B39=0,"",REPT("▓",MIN(20,INT(C39/B39*20)))&amp;REPT("░",MAX(0,20-MIN(20,INT(C39/B39*20)))))</f>
        <v/>
      </c>
      <c r="G39" s="9">
        <f>IF(C39="","⬜",IF(C39/B39&lt;0.8,"🟢",IF(C39/B39&lt;=1,"🟡","🔴")))</f>
        <v/>
      </c>
    </row>
    <row r="40" ht="18" customHeight="1">
      <c r="A40" s="4" t="inlineStr">
        <is>
          <t>PEL</t>
        </is>
      </c>
      <c r="B40" s="5" t="n"/>
      <c r="C40" s="5" t="n"/>
      <c r="D40" s="6">
        <f>B40-C40</f>
        <v/>
      </c>
      <c r="E40" s="7">
        <f>IF(B40=0,"—",C40/B40)</f>
        <v/>
      </c>
      <c r="F40" s="8">
        <f>IF(B40=0,"",REPT("▓",MIN(20,INT(C40/B40*20)))&amp;REPT("░",MAX(0,20-MIN(20,INT(C40/B40*20)))))</f>
        <v/>
      </c>
      <c r="G40" s="9">
        <f>IF(C40="","⬜",IF(C40/B40&lt;0.8,"🟢",IF(C40/B40&lt;=1,"🟡","🔴")))</f>
        <v/>
      </c>
    </row>
    <row r="41" ht="18" customHeight="1">
      <c r="A41" s="4" t="inlineStr">
        <is>
          <t>Assurance-vie</t>
        </is>
      </c>
      <c r="B41" s="5" t="n"/>
      <c r="C41" s="5" t="n"/>
      <c r="D41" s="6">
        <f>B41-C41</f>
        <v/>
      </c>
      <c r="E41" s="7">
        <f>IF(B41=0,"—",C41/B41)</f>
        <v/>
      </c>
      <c r="F41" s="8">
        <f>IF(B41=0,"",REPT("▓",MIN(20,INT(C41/B41*20)))&amp;REPT("░",MAX(0,20-MIN(20,INT(C41/B41*20)))))</f>
        <v/>
      </c>
      <c r="G41" s="9">
        <f>IF(C41="","⬜",IF(C41/B41&lt;0.8,"🟢",IF(C41/B41&lt;=1,"🟡","🔴")))</f>
        <v/>
      </c>
    </row>
    <row r="42" ht="18" customHeight="1">
      <c r="A42" s="4" t="inlineStr">
        <is>
          <t>Investissements</t>
        </is>
      </c>
      <c r="B42" s="5" t="n"/>
      <c r="C42" s="5" t="n"/>
      <c r="D42" s="6">
        <f>B42-C42</f>
        <v/>
      </c>
      <c r="E42" s="7">
        <f>IF(B42=0,"—",C42/B42)</f>
        <v/>
      </c>
      <c r="F42" s="8">
        <f>IF(B42=0,"",REPT("▓",MIN(20,INT(C42/B42*20)))&amp;REPT("░",MAX(0,20-MIN(20,INT(C42/B42*20)))))</f>
        <v/>
      </c>
      <c r="G42" s="9">
        <f>IF(C42="","⬜",IF(C42/B42&lt;0.8,"🟢",IF(C42/B42&lt;=1,"🟡","🔴")))</f>
        <v/>
      </c>
    </row>
    <row r="43" ht="20" customHeight="1">
      <c r="A43" s="10" t="inlineStr">
        <is>
          <t>TOTAL</t>
        </is>
      </c>
      <c r="B43" s="11">
        <f>SUM(B39:B42)</f>
        <v/>
      </c>
      <c r="C43" s="11">
        <f>SUM(C39:C42)</f>
        <v/>
      </c>
      <c r="D43" s="11">
        <f>B43-C43</f>
        <v/>
      </c>
      <c r="E43" s="12">
        <f>IF(B43=0,"—",C43/B43)</f>
        <v/>
      </c>
      <c r="F43" s="13" t="n"/>
      <c r="G43" s="13" t="n"/>
    </row>
    <row r="44" ht="8" customHeight="1">
      <c r="A44" s="14" t="n"/>
      <c r="B44" s="14" t="n"/>
      <c r="C44" s="14" t="n"/>
      <c r="D44" s="14" t="n"/>
      <c r="E44" s="14" t="n"/>
      <c r="F44" s="14" t="n"/>
      <c r="G44" s="14" t="n"/>
    </row>
    <row r="46" ht="22" customHeight="1">
      <c r="A46" s="15" t="inlineStr">
        <is>
          <t>Total Revenus</t>
        </is>
      </c>
      <c r="B46" s="13" t="n"/>
      <c r="C46" s="16">
        <f>C8</f>
        <v/>
      </c>
      <c r="D46" s="13" t="n"/>
      <c r="E46" s="13" t="n"/>
      <c r="F46" s="13" t="n"/>
      <c r="G46" s="13" t="n"/>
    </row>
    <row r="47" ht="22" customHeight="1">
      <c r="A47" s="15" t="inlineStr">
        <is>
          <t>Total Dépenses</t>
        </is>
      </c>
      <c r="B47" s="13" t="n"/>
      <c r="C47" s="16">
        <f>C16+C28+C35</f>
        <v/>
      </c>
      <c r="D47" s="13" t="n"/>
      <c r="E47" s="13" t="n"/>
      <c r="F47" s="13" t="n"/>
      <c r="G47" s="13" t="n"/>
    </row>
    <row r="48" ht="22" customHeight="1">
      <c r="A48" s="17" t="inlineStr">
        <is>
          <t>Solde du mois</t>
        </is>
      </c>
      <c r="B48" s="18" t="n"/>
      <c r="C48" s="19">
        <f>C46-C47</f>
        <v/>
      </c>
      <c r="D48" s="18" t="n"/>
      <c r="E48" s="18" t="n"/>
      <c r="F48" s="18" t="n"/>
      <c r="G48" s="18" t="n"/>
    </row>
    <row r="49" ht="22" customHeight="1">
      <c r="A49" s="17" t="inlineStr">
        <is>
          <t>Taux d'épargne</t>
        </is>
      </c>
      <c r="B49" s="18" t="n"/>
      <c r="C49" s="20">
        <f>IF(C46=0,"—",C48/C46)</f>
        <v/>
      </c>
      <c r="D49" s="18" t="n"/>
      <c r="E49" s="18" t="n"/>
      <c r="F49" s="18" t="n"/>
      <c r="G49" s="18" t="n"/>
    </row>
    <row r="50" ht="22" customHeight="1">
      <c r="A50" s="15" t="inlineStr">
        <is>
          <t>Objectif Épargne</t>
        </is>
      </c>
      <c r="B50" s="13" t="n"/>
      <c r="C50" s="21" t="n"/>
      <c r="D50" s="13" t="n"/>
      <c r="E50" s="13" t="n"/>
      <c r="F50" s="13" t="n"/>
      <c r="G50" s="13" t="n"/>
    </row>
  </sheetData>
  <mergeCells count="6">
    <mergeCell ref="A1:G1"/>
    <mergeCell ref="A18:G18"/>
    <mergeCell ref="A30:G30"/>
    <mergeCell ref="A2:G2"/>
    <mergeCell ref="A10:G10"/>
    <mergeCell ref="A37:G3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G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0" customWidth="1" min="5" max="5"/>
    <col width="22" customWidth="1" min="6" max="6"/>
    <col width="6" customWidth="1" min="7" max="7"/>
  </cols>
  <sheetData>
    <row r="1" ht="36" customHeight="1">
      <c r="A1" s="1" t="inlineStr">
        <is>
          <t>📅 AOÛT</t>
        </is>
      </c>
    </row>
    <row r="2" ht="22" customHeight="1">
      <c r="A2" s="2" t="inlineStr">
        <is>
          <t>💰 REVENUS</t>
        </is>
      </c>
    </row>
    <row r="3" ht="18" customHeight="1">
      <c r="A3" s="3" t="inlineStr">
        <is>
          <t>Catégorie</t>
        </is>
      </c>
      <c r="B3" s="3" t="inlineStr">
        <is>
          <t>Budget Prévu</t>
        </is>
      </c>
      <c r="C3" s="3" t="inlineStr">
        <is>
          <t>Réel</t>
        </is>
      </c>
      <c r="D3" s="3" t="inlineStr">
        <is>
          <t>Écart</t>
        </is>
      </c>
      <c r="E3" s="3" t="inlineStr">
        <is>
          <t>%</t>
        </is>
      </c>
      <c r="F3" s="3" t="inlineStr">
        <is>
          <t>Progression</t>
        </is>
      </c>
      <c r="G3" s="3" t="inlineStr">
        <is>
          <t>✓</t>
        </is>
      </c>
    </row>
    <row r="4" ht="18" customHeight="1">
      <c r="A4" s="4" t="inlineStr">
        <is>
          <t>Salaire</t>
        </is>
      </c>
      <c r="B4" s="5" t="n"/>
      <c r="C4" s="5" t="n"/>
      <c r="D4" s="6">
        <f>B4-C4</f>
        <v/>
      </c>
      <c r="E4" s="7">
        <f>IF(B4=0,"—",C4/B4)</f>
        <v/>
      </c>
      <c r="F4" s="8">
        <f>IF(B4=0,"",REPT("▓",MIN(20,INT(C4/B4*20)))&amp;REPT("░",MAX(0,20-MIN(20,INT(C4/B4*20)))))</f>
        <v/>
      </c>
      <c r="G4" s="9">
        <f>IF(C4="","⬜",IF(C4/B4&lt;0.8,"🟢",IF(C4/B4&lt;=1,"🟡","🔴")))</f>
        <v/>
      </c>
    </row>
    <row r="5" ht="18" customHeight="1">
      <c r="A5" s="4" t="inlineStr">
        <is>
          <t>Freelance</t>
        </is>
      </c>
      <c r="B5" s="5" t="n"/>
      <c r="C5" s="5" t="n"/>
      <c r="D5" s="6">
        <f>B5-C5</f>
        <v/>
      </c>
      <c r="E5" s="7">
        <f>IF(B5=0,"—",C5/B5)</f>
        <v/>
      </c>
      <c r="F5" s="8">
        <f>IF(B5=0,"",REPT("▓",MIN(20,INT(C5/B5*20)))&amp;REPT("░",MAX(0,20-MIN(20,INT(C5/B5*20)))))</f>
        <v/>
      </c>
      <c r="G5" s="9">
        <f>IF(C5="","⬜",IF(C5/B5&lt;0.8,"🟢",IF(C5/B5&lt;=1,"🟡","🔴")))</f>
        <v/>
      </c>
    </row>
    <row r="6" ht="18" customHeight="1">
      <c r="A6" s="4" t="inlineStr">
        <is>
          <t>Aides/APL</t>
        </is>
      </c>
      <c r="B6" s="5" t="n"/>
      <c r="C6" s="5" t="n"/>
      <c r="D6" s="6">
        <f>B6-C6</f>
        <v/>
      </c>
      <c r="E6" s="7">
        <f>IF(B6=0,"—",C6/B6)</f>
        <v/>
      </c>
      <c r="F6" s="8">
        <f>IF(B6=0,"",REPT("▓",MIN(20,INT(C6/B6*20)))&amp;REPT("░",MAX(0,20-MIN(20,INT(C6/B6*20)))))</f>
        <v/>
      </c>
      <c r="G6" s="9">
        <f>IF(C6="","⬜",IF(C6/B6&lt;0.8,"🟢",IF(C6/B6&lt;=1,"🟡","🔴")))</f>
        <v/>
      </c>
    </row>
    <row r="7" ht="18" customHeight="1">
      <c r="A7" s="4" t="inlineStr">
        <is>
          <t>Autres revenus</t>
        </is>
      </c>
      <c r="B7" s="5" t="n"/>
      <c r="C7" s="5" t="n"/>
      <c r="D7" s="6">
        <f>B7-C7</f>
        <v/>
      </c>
      <c r="E7" s="7">
        <f>IF(B7=0,"—",C7/B7)</f>
        <v/>
      </c>
      <c r="F7" s="8">
        <f>IF(B7=0,"",REPT("▓",MIN(20,INT(C7/B7*20)))&amp;REPT("░",MAX(0,20-MIN(20,INT(C7/B7*20)))))</f>
        <v/>
      </c>
      <c r="G7" s="9">
        <f>IF(C7="","⬜",IF(C7/B7&lt;0.8,"🟢",IF(C7/B7&lt;=1,"🟡","🔴")))</f>
        <v/>
      </c>
    </row>
    <row r="8" ht="20" customHeight="1">
      <c r="A8" s="10" t="inlineStr">
        <is>
          <t>TOTAL</t>
        </is>
      </c>
      <c r="B8" s="11">
        <f>SUM(B4:B7)</f>
        <v/>
      </c>
      <c r="C8" s="11">
        <f>SUM(C4:C7)</f>
        <v/>
      </c>
      <c r="D8" s="11">
        <f>B8-C8</f>
        <v/>
      </c>
      <c r="E8" s="12">
        <f>IF(B8=0,"—",C8/B8)</f>
        <v/>
      </c>
      <c r="F8" s="13" t="n"/>
      <c r="G8" s="13" t="n"/>
    </row>
    <row r="9" ht="8" customHeight="1">
      <c r="A9" s="14" t="n"/>
      <c r="B9" s="14" t="n"/>
      <c r="C9" s="14" t="n"/>
      <c r="D9" s="14" t="n"/>
      <c r="E9" s="14" t="n"/>
      <c r="F9" s="14" t="n"/>
      <c r="G9" s="14" t="n"/>
    </row>
    <row r="10" ht="22" customHeight="1">
      <c r="A10" s="2" t="inlineStr">
        <is>
          <t>🏠 DÉPENSES FIXES</t>
        </is>
      </c>
    </row>
    <row r="11" ht="18" customHeight="1">
      <c r="A11" s="3" t="inlineStr">
        <is>
          <t>Catégorie</t>
        </is>
      </c>
      <c r="B11" s="3" t="inlineStr">
        <is>
          <t>Budget Prévu</t>
        </is>
      </c>
      <c r="C11" s="3" t="inlineStr">
        <is>
          <t>Réel</t>
        </is>
      </c>
      <c r="D11" s="3" t="inlineStr">
        <is>
          <t>Écart</t>
        </is>
      </c>
      <c r="E11" s="3" t="inlineStr">
        <is>
          <t>%</t>
        </is>
      </c>
      <c r="F11" s="3" t="inlineStr">
        <is>
          <t>Progression</t>
        </is>
      </c>
      <c r="G11" s="3" t="inlineStr">
        <is>
          <t>✓</t>
        </is>
      </c>
    </row>
    <row r="12" ht="18" customHeight="1">
      <c r="A12" s="4" t="inlineStr">
        <is>
          <t>Loyer/Crédit</t>
        </is>
      </c>
      <c r="B12" s="5" t="n"/>
      <c r="C12" s="5" t="n"/>
      <c r="D12" s="6">
        <f>B12-C12</f>
        <v/>
      </c>
      <c r="E12" s="7">
        <f>IF(B12=0,"—",C12/B12)</f>
        <v/>
      </c>
      <c r="F12" s="8">
        <f>IF(B12=0,"",REPT("▓",MIN(20,INT(C12/B12*20)))&amp;REPT("░",MAX(0,20-MIN(20,INT(C12/B12*20)))))</f>
        <v/>
      </c>
      <c r="G12" s="9">
        <f>IF(C12="","⬜",IF(C12/B12&lt;0.8,"🟢",IF(C12/B12&lt;=1,"🟡","🔴")))</f>
        <v/>
      </c>
    </row>
    <row r="13" ht="18" customHeight="1">
      <c r="A13" s="4" t="inlineStr">
        <is>
          <t>Assurances</t>
        </is>
      </c>
      <c r="B13" s="5" t="n"/>
      <c r="C13" s="5" t="n"/>
      <c r="D13" s="6">
        <f>B13-C13</f>
        <v/>
      </c>
      <c r="E13" s="7">
        <f>IF(B13=0,"—",C13/B13)</f>
        <v/>
      </c>
      <c r="F13" s="8">
        <f>IF(B13=0,"",REPT("▓",MIN(20,INT(C13/B13*20)))&amp;REPT("░",MAX(0,20-MIN(20,INT(C13/B13*20)))))</f>
        <v/>
      </c>
      <c r="G13" s="9">
        <f>IF(C13="","⬜",IF(C13/B13&lt;0.8,"🟢",IF(C13/B13&lt;=1,"🟡","🔴")))</f>
        <v/>
      </c>
    </row>
    <row r="14" ht="18" customHeight="1">
      <c r="A14" s="4" t="inlineStr">
        <is>
          <t>Abonnements</t>
        </is>
      </c>
      <c r="B14" s="5" t="n"/>
      <c r="C14" s="5" t="n"/>
      <c r="D14" s="6">
        <f>B14-C14</f>
        <v/>
      </c>
      <c r="E14" s="7">
        <f>IF(B14=0,"—",C14/B14)</f>
        <v/>
      </c>
      <c r="F14" s="8">
        <f>IF(B14=0,"",REPT("▓",MIN(20,INT(C14/B14*20)))&amp;REPT("░",MAX(0,20-MIN(20,INT(C14/B14*20)))))</f>
        <v/>
      </c>
      <c r="G14" s="9">
        <f>IF(C14="","⬜",IF(C14/B14&lt;0.8,"🟢",IF(C14/B14&lt;=1,"🟡","🔴")))</f>
        <v/>
      </c>
    </row>
    <row r="15" ht="18" customHeight="1">
      <c r="A15" s="4" t="inlineStr">
        <is>
          <t>Téléphone/Internet</t>
        </is>
      </c>
      <c r="B15" s="5" t="n"/>
      <c r="C15" s="5" t="n"/>
      <c r="D15" s="6">
        <f>B15-C15</f>
        <v/>
      </c>
      <c r="E15" s="7">
        <f>IF(B15=0,"—",C15/B15)</f>
        <v/>
      </c>
      <c r="F15" s="8">
        <f>IF(B15=0,"",REPT("▓",MIN(20,INT(C15/B15*20)))&amp;REPT("░",MAX(0,20-MIN(20,INT(C15/B15*20)))))</f>
        <v/>
      </c>
      <c r="G15" s="9">
        <f>IF(C15="","⬜",IF(C15/B15&lt;0.8,"🟢",IF(C15/B15&lt;=1,"🟡","🔴")))</f>
        <v/>
      </c>
    </row>
    <row r="16" ht="20" customHeight="1">
      <c r="A16" s="10" t="inlineStr">
        <is>
          <t>TOTAL</t>
        </is>
      </c>
      <c r="B16" s="11">
        <f>SUM(B12:B15)</f>
        <v/>
      </c>
      <c r="C16" s="11">
        <f>SUM(C12:C15)</f>
        <v/>
      </c>
      <c r="D16" s="11">
        <f>B16-C16</f>
        <v/>
      </c>
      <c r="E16" s="12">
        <f>IF(B16=0,"—",C16/B16)</f>
        <v/>
      </c>
      <c r="F16" s="13" t="n"/>
      <c r="G16" s="13" t="n"/>
    </row>
    <row r="17" ht="8" customHeight="1">
      <c r="A17" s="14" t="n"/>
      <c r="B17" s="14" t="n"/>
      <c r="C17" s="14" t="n"/>
      <c r="D17" s="14" t="n"/>
      <c r="E17" s="14" t="n"/>
      <c r="F17" s="14" t="n"/>
      <c r="G17" s="14" t="n"/>
    </row>
    <row r="18" ht="22" customHeight="1">
      <c r="A18" s="2" t="inlineStr">
        <is>
          <t>🛒 DÉPENSES VARIABLES</t>
        </is>
      </c>
    </row>
    <row r="19" ht="18" customHeight="1">
      <c r="A19" s="3" t="inlineStr">
        <is>
          <t>Catégorie</t>
        </is>
      </c>
      <c r="B19" s="3" t="inlineStr">
        <is>
          <t>Budget Prévu</t>
        </is>
      </c>
      <c r="C19" s="3" t="inlineStr">
        <is>
          <t>Réel</t>
        </is>
      </c>
      <c r="D19" s="3" t="inlineStr">
        <is>
          <t>Écart</t>
        </is>
      </c>
      <c r="E19" s="3" t="inlineStr">
        <is>
          <t>%</t>
        </is>
      </c>
      <c r="F19" s="3" t="inlineStr">
        <is>
          <t>Progression</t>
        </is>
      </c>
      <c r="G19" s="3" t="inlineStr">
        <is>
          <t>✓</t>
        </is>
      </c>
    </row>
    <row r="20" ht="18" customHeight="1">
      <c r="A20" s="4" t="inlineStr">
        <is>
          <t>Alimentation</t>
        </is>
      </c>
      <c r="B20" s="5" t="n"/>
      <c r="C20" s="5" t="n"/>
      <c r="D20" s="6">
        <f>B20-C20</f>
        <v/>
      </c>
      <c r="E20" s="7">
        <f>IF(B20=0,"—",C20/B20)</f>
        <v/>
      </c>
      <c r="F20" s="8">
        <f>IF(B20=0,"",REPT("▓",MIN(20,INT(C20/B20*20)))&amp;REPT("░",MAX(0,20-MIN(20,INT(C20/B20*20)))))</f>
        <v/>
      </c>
      <c r="G20" s="9">
        <f>IF(C20="","⬜",IF(C20/B20&lt;0.8,"🟢",IF(C20/B20&lt;=1,"🟡","🔴")))</f>
        <v/>
      </c>
    </row>
    <row r="21" ht="18" customHeight="1">
      <c r="A21" s="4" t="inlineStr">
        <is>
          <t>Transport</t>
        </is>
      </c>
      <c r="B21" s="5" t="n"/>
      <c r="C21" s="5" t="n"/>
      <c r="D21" s="6">
        <f>B21-C21</f>
        <v/>
      </c>
      <c r="E21" s="7">
        <f>IF(B21=0,"—",C21/B21)</f>
        <v/>
      </c>
      <c r="F21" s="8">
        <f>IF(B21=0,"",REPT("▓",MIN(20,INT(C21/B21*20)))&amp;REPT("░",MAX(0,20-MIN(20,INT(C21/B21*20)))))</f>
        <v/>
      </c>
      <c r="G21" s="9">
        <f>IF(C21="","⬜",IF(C21/B21&lt;0.8,"🟢",IF(C21/B21&lt;=1,"🟡","🔴")))</f>
        <v/>
      </c>
    </row>
    <row r="22" ht="18" customHeight="1">
      <c r="A22" s="4" t="inlineStr">
        <is>
          <t>Santé</t>
        </is>
      </c>
      <c r="B22" s="5" t="n"/>
      <c r="C22" s="5" t="n"/>
      <c r="D22" s="6">
        <f>B22-C22</f>
        <v/>
      </c>
      <c r="E22" s="7">
        <f>IF(B22=0,"—",C22/B22)</f>
        <v/>
      </c>
      <c r="F22" s="8">
        <f>IF(B22=0,"",REPT("▓",MIN(20,INT(C22/B22*20)))&amp;REPT("░",MAX(0,20-MIN(20,INT(C22/B22*20)))))</f>
        <v/>
      </c>
      <c r="G22" s="9">
        <f>IF(C22="","⬜",IF(C22/B22&lt;0.8,"🟢",IF(C22/B22&lt;=1,"🟡","🔴")))</f>
        <v/>
      </c>
    </row>
    <row r="23" ht="18" customHeight="1">
      <c r="A23" s="4" t="inlineStr">
        <is>
          <t>Loisirs</t>
        </is>
      </c>
      <c r="B23" s="5" t="n"/>
      <c r="C23" s="5" t="n"/>
      <c r="D23" s="6">
        <f>B23-C23</f>
        <v/>
      </c>
      <c r="E23" s="7">
        <f>IF(B23=0,"—",C23/B23)</f>
        <v/>
      </c>
      <c r="F23" s="8">
        <f>IF(B23=0,"",REPT("▓",MIN(20,INT(C23/B23*20)))&amp;REPT("░",MAX(0,20-MIN(20,INT(C23/B23*20)))))</f>
        <v/>
      </c>
      <c r="G23" s="9">
        <f>IF(C23="","⬜",IF(C23/B23&lt;0.8,"🟢",IF(C23/B23&lt;=1,"🟡","🔴")))</f>
        <v/>
      </c>
    </row>
    <row r="24" ht="18" customHeight="1">
      <c r="A24" s="4" t="inlineStr">
        <is>
          <t>Shopping</t>
        </is>
      </c>
      <c r="B24" s="5" t="n"/>
      <c r="C24" s="5" t="n"/>
      <c r="D24" s="6">
        <f>B24-C24</f>
        <v/>
      </c>
      <c r="E24" s="7">
        <f>IF(B24=0,"—",C24/B24)</f>
        <v/>
      </c>
      <c r="F24" s="8">
        <f>IF(B24=0,"",REPT("▓",MIN(20,INT(C24/B24*20)))&amp;REPT("░",MAX(0,20-MIN(20,INT(C24/B24*20)))))</f>
        <v/>
      </c>
      <c r="G24" s="9">
        <f>IF(C24="","⬜",IF(C24/B24&lt;0.8,"🟢",IF(C24/B24&lt;=1,"🟡","🔴")))</f>
        <v/>
      </c>
    </row>
    <row r="25" ht="18" customHeight="1">
      <c r="A25" s="4" t="inlineStr">
        <is>
          <t>Restaurant</t>
        </is>
      </c>
      <c r="B25" s="5" t="n"/>
      <c r="C25" s="5" t="n"/>
      <c r="D25" s="6">
        <f>B25-C25</f>
        <v/>
      </c>
      <c r="E25" s="7">
        <f>IF(B25=0,"—",C25/B25)</f>
        <v/>
      </c>
      <c r="F25" s="8">
        <f>IF(B25=0,"",REPT("▓",MIN(20,INT(C25/B25*20)))&amp;REPT("░",MAX(0,20-MIN(20,INT(C25/B25*20)))))</f>
        <v/>
      </c>
      <c r="G25" s="9">
        <f>IF(C25="","⬜",IF(C25/B25&lt;0.8,"🟢",IF(C25/B25&lt;=1,"🟡","🔴")))</f>
        <v/>
      </c>
    </row>
    <row r="26" ht="18" customHeight="1">
      <c r="A26" s="4" t="inlineStr">
        <is>
          <t>Beauté</t>
        </is>
      </c>
      <c r="B26" s="5" t="n"/>
      <c r="C26" s="5" t="n"/>
      <c r="D26" s="6">
        <f>B26-C26</f>
        <v/>
      </c>
      <c r="E26" s="7">
        <f>IF(B26=0,"—",C26/B26)</f>
        <v/>
      </c>
      <c r="F26" s="8">
        <f>IF(B26=0,"",REPT("▓",MIN(20,INT(C26/B26*20)))&amp;REPT("░",MAX(0,20-MIN(20,INT(C26/B26*20)))))</f>
        <v/>
      </c>
      <c r="G26" s="9">
        <f>IF(C26="","⬜",IF(C26/B26&lt;0.8,"🟢",IF(C26/B26&lt;=1,"🟡","🔴")))</f>
        <v/>
      </c>
    </row>
    <row r="27" ht="18" customHeight="1">
      <c r="A27" s="4" t="inlineStr">
        <is>
          <t>Autre</t>
        </is>
      </c>
      <c r="B27" s="5" t="n"/>
      <c r="C27" s="5" t="n"/>
      <c r="D27" s="6">
        <f>B27-C27</f>
        <v/>
      </c>
      <c r="E27" s="7">
        <f>IF(B27=0,"—",C27/B27)</f>
        <v/>
      </c>
      <c r="F27" s="8">
        <f>IF(B27=0,"",REPT("▓",MIN(20,INT(C27/B27*20)))&amp;REPT("░",MAX(0,20-MIN(20,INT(C27/B27*20)))))</f>
        <v/>
      </c>
      <c r="G27" s="9">
        <f>IF(C27="","⬜",IF(C27/B27&lt;0.8,"🟢",IF(C27/B27&lt;=1,"🟡","🔴")))</f>
        <v/>
      </c>
    </row>
    <row r="28" ht="20" customHeight="1">
      <c r="A28" s="10" t="inlineStr">
        <is>
          <t>TOTAL</t>
        </is>
      </c>
      <c r="B28" s="11">
        <f>SUM(B20:B27)</f>
        <v/>
      </c>
      <c r="C28" s="11">
        <f>SUM(C20:C27)</f>
        <v/>
      </c>
      <c r="D28" s="11">
        <f>B28-C28</f>
        <v/>
      </c>
      <c r="E28" s="12">
        <f>IF(B28=0,"—",C28/B28)</f>
        <v/>
      </c>
      <c r="F28" s="13" t="n"/>
      <c r="G28" s="13" t="n"/>
    </row>
    <row r="29" ht="8" customHeight="1">
      <c r="A29" s="14" t="n"/>
      <c r="B29" s="14" t="n"/>
      <c r="C29" s="14" t="n"/>
      <c r="D29" s="14" t="n"/>
      <c r="E29" s="14" t="n"/>
      <c r="F29" s="14" t="n"/>
      <c r="G29" s="14" t="n"/>
    </row>
    <row r="30" ht="22" customHeight="1">
      <c r="A30" s="2" t="inlineStr">
        <is>
          <t>💳 CRÉDITS</t>
        </is>
      </c>
    </row>
    <row r="31" ht="18" customHeight="1">
      <c r="A31" s="3" t="inlineStr">
        <is>
          <t>Catégorie</t>
        </is>
      </c>
      <c r="B31" s="3" t="inlineStr">
        <is>
          <t>Budget Prévu</t>
        </is>
      </c>
      <c r="C31" s="3" t="inlineStr">
        <is>
          <t>Réel</t>
        </is>
      </c>
      <c r="D31" s="3" t="inlineStr">
        <is>
          <t>Écart</t>
        </is>
      </c>
      <c r="E31" s="3" t="inlineStr">
        <is>
          <t>%</t>
        </is>
      </c>
      <c r="F31" s="3" t="inlineStr">
        <is>
          <t>Progression</t>
        </is>
      </c>
      <c r="G31" s="3" t="inlineStr">
        <is>
          <t>✓</t>
        </is>
      </c>
    </row>
    <row r="32" ht="18" customHeight="1">
      <c r="A32" s="4" t="inlineStr">
        <is>
          <t>Crédit auto</t>
        </is>
      </c>
      <c r="B32" s="5" t="n"/>
      <c r="C32" s="5" t="n"/>
      <c r="D32" s="6">
        <f>B32-C32</f>
        <v/>
      </c>
      <c r="E32" s="7">
        <f>IF(B32=0,"—",C32/B32)</f>
        <v/>
      </c>
      <c r="F32" s="8">
        <f>IF(B32=0,"",REPT("▓",MIN(20,INT(C32/B32*20)))&amp;REPT("░",MAX(0,20-MIN(20,INT(C32/B32*20)))))</f>
        <v/>
      </c>
      <c r="G32" s="9">
        <f>IF(C32="","⬜",IF(C32/B32&lt;0.8,"🟢",IF(C32/B32&lt;=1,"🟡","🔴")))</f>
        <v/>
      </c>
    </row>
    <row r="33" ht="18" customHeight="1">
      <c r="A33" s="4" t="inlineStr">
        <is>
          <t>Crédit conso</t>
        </is>
      </c>
      <c r="B33" s="5" t="n"/>
      <c r="C33" s="5" t="n"/>
      <c r="D33" s="6">
        <f>B33-C33</f>
        <v/>
      </c>
      <c r="E33" s="7">
        <f>IF(B33=0,"—",C33/B33)</f>
        <v/>
      </c>
      <c r="F33" s="8">
        <f>IF(B33=0,"",REPT("▓",MIN(20,INT(C33/B33*20)))&amp;REPT("░",MAX(0,20-MIN(20,INT(C33/B33*20)))))</f>
        <v/>
      </c>
      <c r="G33" s="9">
        <f>IF(C33="","⬜",IF(C33/B33&lt;0.8,"🟢",IF(C33/B33&lt;=1,"🟡","🔴")))</f>
        <v/>
      </c>
    </row>
    <row r="34" ht="18" customHeight="1">
      <c r="A34" s="4" t="inlineStr">
        <is>
          <t>Autre crédit</t>
        </is>
      </c>
      <c r="B34" s="5" t="n"/>
      <c r="C34" s="5" t="n"/>
      <c r="D34" s="6">
        <f>B34-C34</f>
        <v/>
      </c>
      <c r="E34" s="7">
        <f>IF(B34=0,"—",C34/B34)</f>
        <v/>
      </c>
      <c r="F34" s="8">
        <f>IF(B34=0,"",REPT("▓",MIN(20,INT(C34/B34*20)))&amp;REPT("░",MAX(0,20-MIN(20,INT(C34/B34*20)))))</f>
        <v/>
      </c>
      <c r="G34" s="9">
        <f>IF(C34="","⬜",IF(C34/B34&lt;0.8,"🟢",IF(C34/B34&lt;=1,"🟡","🔴")))</f>
        <v/>
      </c>
    </row>
    <row r="35" ht="20" customHeight="1">
      <c r="A35" s="10" t="inlineStr">
        <is>
          <t>TOTAL</t>
        </is>
      </c>
      <c r="B35" s="11">
        <f>SUM(B32:B34)</f>
        <v/>
      </c>
      <c r="C35" s="11">
        <f>SUM(C32:C34)</f>
        <v/>
      </c>
      <c r="D35" s="11">
        <f>B35-C35</f>
        <v/>
      </c>
      <c r="E35" s="12">
        <f>IF(B35=0,"—",C35/B35)</f>
        <v/>
      </c>
      <c r="F35" s="13" t="n"/>
      <c r="G35" s="13" t="n"/>
    </row>
    <row r="36" ht="8" customHeight="1">
      <c r="A36" s="14" t="n"/>
      <c r="B36" s="14" t="n"/>
      <c r="C36" s="14" t="n"/>
      <c r="D36" s="14" t="n"/>
      <c r="E36" s="14" t="n"/>
      <c r="F36" s="14" t="n"/>
      <c r="G36" s="14" t="n"/>
    </row>
    <row r="37" ht="22" customHeight="1">
      <c r="A37" s="2" t="inlineStr">
        <is>
          <t>🏦 ÉPARGNE</t>
        </is>
      </c>
    </row>
    <row r="38" ht="18" customHeight="1">
      <c r="A38" s="3" t="inlineStr">
        <is>
          <t>Catégorie</t>
        </is>
      </c>
      <c r="B38" s="3" t="inlineStr">
        <is>
          <t>Budget Prévu</t>
        </is>
      </c>
      <c r="C38" s="3" t="inlineStr">
        <is>
          <t>Réel</t>
        </is>
      </c>
      <c r="D38" s="3" t="inlineStr">
        <is>
          <t>Écart</t>
        </is>
      </c>
      <c r="E38" s="3" t="inlineStr">
        <is>
          <t>%</t>
        </is>
      </c>
      <c r="F38" s="3" t="inlineStr">
        <is>
          <t>Progression</t>
        </is>
      </c>
      <c r="G38" s="3" t="inlineStr">
        <is>
          <t>✓</t>
        </is>
      </c>
    </row>
    <row r="39" ht="18" customHeight="1">
      <c r="A39" s="4" t="inlineStr">
        <is>
          <t>Livret A</t>
        </is>
      </c>
      <c r="B39" s="5" t="n"/>
      <c r="C39" s="5" t="n"/>
      <c r="D39" s="6">
        <f>B39-C39</f>
        <v/>
      </c>
      <c r="E39" s="7">
        <f>IF(B39=0,"—",C39/B39)</f>
        <v/>
      </c>
      <c r="F39" s="8">
        <f>IF(B39=0,"",REPT("▓",MIN(20,INT(C39/B39*20)))&amp;REPT("░",MAX(0,20-MIN(20,INT(C39/B39*20)))))</f>
        <v/>
      </c>
      <c r="G39" s="9">
        <f>IF(C39="","⬜",IF(C39/B39&lt;0.8,"🟢",IF(C39/B39&lt;=1,"🟡","🔴")))</f>
        <v/>
      </c>
    </row>
    <row r="40" ht="18" customHeight="1">
      <c r="A40" s="4" t="inlineStr">
        <is>
          <t>PEL</t>
        </is>
      </c>
      <c r="B40" s="5" t="n"/>
      <c r="C40" s="5" t="n"/>
      <c r="D40" s="6">
        <f>B40-C40</f>
        <v/>
      </c>
      <c r="E40" s="7">
        <f>IF(B40=0,"—",C40/B40)</f>
        <v/>
      </c>
      <c r="F40" s="8">
        <f>IF(B40=0,"",REPT("▓",MIN(20,INT(C40/B40*20)))&amp;REPT("░",MAX(0,20-MIN(20,INT(C40/B40*20)))))</f>
        <v/>
      </c>
      <c r="G40" s="9">
        <f>IF(C40="","⬜",IF(C40/B40&lt;0.8,"🟢",IF(C40/B40&lt;=1,"🟡","🔴")))</f>
        <v/>
      </c>
    </row>
    <row r="41" ht="18" customHeight="1">
      <c r="A41" s="4" t="inlineStr">
        <is>
          <t>Assurance-vie</t>
        </is>
      </c>
      <c r="B41" s="5" t="n"/>
      <c r="C41" s="5" t="n"/>
      <c r="D41" s="6">
        <f>B41-C41</f>
        <v/>
      </c>
      <c r="E41" s="7">
        <f>IF(B41=0,"—",C41/B41)</f>
        <v/>
      </c>
      <c r="F41" s="8">
        <f>IF(B41=0,"",REPT("▓",MIN(20,INT(C41/B41*20)))&amp;REPT("░",MAX(0,20-MIN(20,INT(C41/B41*20)))))</f>
        <v/>
      </c>
      <c r="G41" s="9">
        <f>IF(C41="","⬜",IF(C41/B41&lt;0.8,"🟢",IF(C41/B41&lt;=1,"🟡","🔴")))</f>
        <v/>
      </c>
    </row>
    <row r="42" ht="18" customHeight="1">
      <c r="A42" s="4" t="inlineStr">
        <is>
          <t>Investissements</t>
        </is>
      </c>
      <c r="B42" s="5" t="n"/>
      <c r="C42" s="5" t="n"/>
      <c r="D42" s="6">
        <f>B42-C42</f>
        <v/>
      </c>
      <c r="E42" s="7">
        <f>IF(B42=0,"—",C42/B42)</f>
        <v/>
      </c>
      <c r="F42" s="8">
        <f>IF(B42=0,"",REPT("▓",MIN(20,INT(C42/B42*20)))&amp;REPT("░",MAX(0,20-MIN(20,INT(C42/B42*20)))))</f>
        <v/>
      </c>
      <c r="G42" s="9">
        <f>IF(C42="","⬜",IF(C42/B42&lt;0.8,"🟢",IF(C42/B42&lt;=1,"🟡","🔴")))</f>
        <v/>
      </c>
    </row>
    <row r="43" ht="20" customHeight="1">
      <c r="A43" s="10" t="inlineStr">
        <is>
          <t>TOTAL</t>
        </is>
      </c>
      <c r="B43" s="11">
        <f>SUM(B39:B42)</f>
        <v/>
      </c>
      <c r="C43" s="11">
        <f>SUM(C39:C42)</f>
        <v/>
      </c>
      <c r="D43" s="11">
        <f>B43-C43</f>
        <v/>
      </c>
      <c r="E43" s="12">
        <f>IF(B43=0,"—",C43/B43)</f>
        <v/>
      </c>
      <c r="F43" s="13" t="n"/>
      <c r="G43" s="13" t="n"/>
    </row>
    <row r="44" ht="8" customHeight="1">
      <c r="A44" s="14" t="n"/>
      <c r="B44" s="14" t="n"/>
      <c r="C44" s="14" t="n"/>
      <c r="D44" s="14" t="n"/>
      <c r="E44" s="14" t="n"/>
      <c r="F44" s="14" t="n"/>
      <c r="G44" s="14" t="n"/>
    </row>
    <row r="46" ht="22" customHeight="1">
      <c r="A46" s="15" t="inlineStr">
        <is>
          <t>Total Revenus</t>
        </is>
      </c>
      <c r="B46" s="13" t="n"/>
      <c r="C46" s="16">
        <f>C8</f>
        <v/>
      </c>
      <c r="D46" s="13" t="n"/>
      <c r="E46" s="13" t="n"/>
      <c r="F46" s="13" t="n"/>
      <c r="G46" s="13" t="n"/>
    </row>
    <row r="47" ht="22" customHeight="1">
      <c r="A47" s="15" t="inlineStr">
        <is>
          <t>Total Dépenses</t>
        </is>
      </c>
      <c r="B47" s="13" t="n"/>
      <c r="C47" s="16">
        <f>C16+C28+C35</f>
        <v/>
      </c>
      <c r="D47" s="13" t="n"/>
      <c r="E47" s="13" t="n"/>
      <c r="F47" s="13" t="n"/>
      <c r="G47" s="13" t="n"/>
    </row>
    <row r="48" ht="22" customHeight="1">
      <c r="A48" s="17" t="inlineStr">
        <is>
          <t>Solde du mois</t>
        </is>
      </c>
      <c r="B48" s="18" t="n"/>
      <c r="C48" s="19">
        <f>C46-C47</f>
        <v/>
      </c>
      <c r="D48" s="18" t="n"/>
      <c r="E48" s="18" t="n"/>
      <c r="F48" s="18" t="n"/>
      <c r="G48" s="18" t="n"/>
    </row>
    <row r="49" ht="22" customHeight="1">
      <c r="A49" s="17" t="inlineStr">
        <is>
          <t>Taux d'épargne</t>
        </is>
      </c>
      <c r="B49" s="18" t="n"/>
      <c r="C49" s="20">
        <f>IF(C46=0,"—",C48/C46)</f>
        <v/>
      </c>
      <c r="D49" s="18" t="n"/>
      <c r="E49" s="18" t="n"/>
      <c r="F49" s="18" t="n"/>
      <c r="G49" s="18" t="n"/>
    </row>
    <row r="50" ht="22" customHeight="1">
      <c r="A50" s="15" t="inlineStr">
        <is>
          <t>Objectif Épargne</t>
        </is>
      </c>
      <c r="B50" s="13" t="n"/>
      <c r="C50" s="21" t="n"/>
      <c r="D50" s="13" t="n"/>
      <c r="E50" s="13" t="n"/>
      <c r="F50" s="13" t="n"/>
      <c r="G50" s="13" t="n"/>
    </row>
  </sheetData>
  <mergeCells count="6">
    <mergeCell ref="A1:G1"/>
    <mergeCell ref="A18:G18"/>
    <mergeCell ref="A30:G30"/>
    <mergeCell ref="A2:G2"/>
    <mergeCell ref="A10:G10"/>
    <mergeCell ref="A37:G3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3460"/>
    <outlinePr summaryBelow="1" summaryRight="1"/>
    <pageSetUpPr/>
  </sheetPr>
  <dimension ref="A1:G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0" customWidth="1" min="5" max="5"/>
    <col width="22" customWidth="1" min="6" max="6"/>
    <col width="6" customWidth="1" min="7" max="7"/>
  </cols>
  <sheetData>
    <row r="1" ht="36" customHeight="1">
      <c r="A1" s="1" t="inlineStr">
        <is>
          <t>📅 SEPTEMBRE</t>
        </is>
      </c>
    </row>
    <row r="2" ht="22" customHeight="1">
      <c r="A2" s="2" t="inlineStr">
        <is>
          <t>💰 REVENUS</t>
        </is>
      </c>
    </row>
    <row r="3" ht="18" customHeight="1">
      <c r="A3" s="3" t="inlineStr">
        <is>
          <t>Catégorie</t>
        </is>
      </c>
      <c r="B3" s="3" t="inlineStr">
        <is>
          <t>Budget Prévu</t>
        </is>
      </c>
      <c r="C3" s="3" t="inlineStr">
        <is>
          <t>Réel</t>
        </is>
      </c>
      <c r="D3" s="3" t="inlineStr">
        <is>
          <t>Écart</t>
        </is>
      </c>
      <c r="E3" s="3" t="inlineStr">
        <is>
          <t>%</t>
        </is>
      </c>
      <c r="F3" s="3" t="inlineStr">
        <is>
          <t>Progression</t>
        </is>
      </c>
      <c r="G3" s="3" t="inlineStr">
        <is>
          <t>✓</t>
        </is>
      </c>
    </row>
    <row r="4" ht="18" customHeight="1">
      <c r="A4" s="4" t="inlineStr">
        <is>
          <t>Salaire</t>
        </is>
      </c>
      <c r="B4" s="5" t="n"/>
      <c r="C4" s="5" t="n"/>
      <c r="D4" s="6">
        <f>B4-C4</f>
        <v/>
      </c>
      <c r="E4" s="7">
        <f>IF(B4=0,"—",C4/B4)</f>
        <v/>
      </c>
      <c r="F4" s="8">
        <f>IF(B4=0,"",REPT("▓",MIN(20,INT(C4/B4*20)))&amp;REPT("░",MAX(0,20-MIN(20,INT(C4/B4*20)))))</f>
        <v/>
      </c>
      <c r="G4" s="9">
        <f>IF(C4="","⬜",IF(C4/B4&lt;0.8,"🟢",IF(C4/B4&lt;=1,"🟡","🔴")))</f>
        <v/>
      </c>
    </row>
    <row r="5" ht="18" customHeight="1">
      <c r="A5" s="4" t="inlineStr">
        <is>
          <t>Freelance</t>
        </is>
      </c>
      <c r="B5" s="5" t="n"/>
      <c r="C5" s="5" t="n"/>
      <c r="D5" s="6">
        <f>B5-C5</f>
        <v/>
      </c>
      <c r="E5" s="7">
        <f>IF(B5=0,"—",C5/B5)</f>
        <v/>
      </c>
      <c r="F5" s="8">
        <f>IF(B5=0,"",REPT("▓",MIN(20,INT(C5/B5*20)))&amp;REPT("░",MAX(0,20-MIN(20,INT(C5/B5*20)))))</f>
        <v/>
      </c>
      <c r="G5" s="9">
        <f>IF(C5="","⬜",IF(C5/B5&lt;0.8,"🟢",IF(C5/B5&lt;=1,"🟡","🔴")))</f>
        <v/>
      </c>
    </row>
    <row r="6" ht="18" customHeight="1">
      <c r="A6" s="4" t="inlineStr">
        <is>
          <t>Aides/APL</t>
        </is>
      </c>
      <c r="B6" s="5" t="n"/>
      <c r="C6" s="5" t="n"/>
      <c r="D6" s="6">
        <f>B6-C6</f>
        <v/>
      </c>
      <c r="E6" s="7">
        <f>IF(B6=0,"—",C6/B6)</f>
        <v/>
      </c>
      <c r="F6" s="8">
        <f>IF(B6=0,"",REPT("▓",MIN(20,INT(C6/B6*20)))&amp;REPT("░",MAX(0,20-MIN(20,INT(C6/B6*20)))))</f>
        <v/>
      </c>
      <c r="G6" s="9">
        <f>IF(C6="","⬜",IF(C6/B6&lt;0.8,"🟢",IF(C6/B6&lt;=1,"🟡","🔴")))</f>
        <v/>
      </c>
    </row>
    <row r="7" ht="18" customHeight="1">
      <c r="A7" s="4" t="inlineStr">
        <is>
          <t>Autres revenus</t>
        </is>
      </c>
      <c r="B7" s="5" t="n"/>
      <c r="C7" s="5" t="n"/>
      <c r="D7" s="6">
        <f>B7-C7</f>
        <v/>
      </c>
      <c r="E7" s="7">
        <f>IF(B7=0,"—",C7/B7)</f>
        <v/>
      </c>
      <c r="F7" s="8">
        <f>IF(B7=0,"",REPT("▓",MIN(20,INT(C7/B7*20)))&amp;REPT("░",MAX(0,20-MIN(20,INT(C7/B7*20)))))</f>
        <v/>
      </c>
      <c r="G7" s="9">
        <f>IF(C7="","⬜",IF(C7/B7&lt;0.8,"🟢",IF(C7/B7&lt;=1,"🟡","🔴")))</f>
        <v/>
      </c>
    </row>
    <row r="8" ht="20" customHeight="1">
      <c r="A8" s="10" t="inlineStr">
        <is>
          <t>TOTAL</t>
        </is>
      </c>
      <c r="B8" s="11">
        <f>SUM(B4:B7)</f>
        <v/>
      </c>
      <c r="C8" s="11">
        <f>SUM(C4:C7)</f>
        <v/>
      </c>
      <c r="D8" s="11">
        <f>B8-C8</f>
        <v/>
      </c>
      <c r="E8" s="12">
        <f>IF(B8=0,"—",C8/B8)</f>
        <v/>
      </c>
      <c r="F8" s="13" t="n"/>
      <c r="G8" s="13" t="n"/>
    </row>
    <row r="9" ht="8" customHeight="1">
      <c r="A9" s="14" t="n"/>
      <c r="B9" s="14" t="n"/>
      <c r="C9" s="14" t="n"/>
      <c r="D9" s="14" t="n"/>
      <c r="E9" s="14" t="n"/>
      <c r="F9" s="14" t="n"/>
      <c r="G9" s="14" t="n"/>
    </row>
    <row r="10" ht="22" customHeight="1">
      <c r="A10" s="2" t="inlineStr">
        <is>
          <t>🏠 DÉPENSES FIXES</t>
        </is>
      </c>
    </row>
    <row r="11" ht="18" customHeight="1">
      <c r="A11" s="3" t="inlineStr">
        <is>
          <t>Catégorie</t>
        </is>
      </c>
      <c r="B11" s="3" t="inlineStr">
        <is>
          <t>Budget Prévu</t>
        </is>
      </c>
      <c r="C11" s="3" t="inlineStr">
        <is>
          <t>Réel</t>
        </is>
      </c>
      <c r="D11" s="3" t="inlineStr">
        <is>
          <t>Écart</t>
        </is>
      </c>
      <c r="E11" s="3" t="inlineStr">
        <is>
          <t>%</t>
        </is>
      </c>
      <c r="F11" s="3" t="inlineStr">
        <is>
          <t>Progression</t>
        </is>
      </c>
      <c r="G11" s="3" t="inlineStr">
        <is>
          <t>✓</t>
        </is>
      </c>
    </row>
    <row r="12" ht="18" customHeight="1">
      <c r="A12" s="4" t="inlineStr">
        <is>
          <t>Loyer/Crédit</t>
        </is>
      </c>
      <c r="B12" s="5" t="n"/>
      <c r="C12" s="5" t="n"/>
      <c r="D12" s="6">
        <f>B12-C12</f>
        <v/>
      </c>
      <c r="E12" s="7">
        <f>IF(B12=0,"—",C12/B12)</f>
        <v/>
      </c>
      <c r="F12" s="8">
        <f>IF(B12=0,"",REPT("▓",MIN(20,INT(C12/B12*20)))&amp;REPT("░",MAX(0,20-MIN(20,INT(C12/B12*20)))))</f>
        <v/>
      </c>
      <c r="G12" s="9">
        <f>IF(C12="","⬜",IF(C12/B12&lt;0.8,"🟢",IF(C12/B12&lt;=1,"🟡","🔴")))</f>
        <v/>
      </c>
    </row>
    <row r="13" ht="18" customHeight="1">
      <c r="A13" s="4" t="inlineStr">
        <is>
          <t>Assurances</t>
        </is>
      </c>
      <c r="B13" s="5" t="n"/>
      <c r="C13" s="5" t="n"/>
      <c r="D13" s="6">
        <f>B13-C13</f>
        <v/>
      </c>
      <c r="E13" s="7">
        <f>IF(B13=0,"—",C13/B13)</f>
        <v/>
      </c>
      <c r="F13" s="8">
        <f>IF(B13=0,"",REPT("▓",MIN(20,INT(C13/B13*20)))&amp;REPT("░",MAX(0,20-MIN(20,INT(C13/B13*20)))))</f>
        <v/>
      </c>
      <c r="G13" s="9">
        <f>IF(C13="","⬜",IF(C13/B13&lt;0.8,"🟢",IF(C13/B13&lt;=1,"🟡","🔴")))</f>
        <v/>
      </c>
    </row>
    <row r="14" ht="18" customHeight="1">
      <c r="A14" s="4" t="inlineStr">
        <is>
          <t>Abonnements</t>
        </is>
      </c>
      <c r="B14" s="5" t="n"/>
      <c r="C14" s="5" t="n"/>
      <c r="D14" s="6">
        <f>B14-C14</f>
        <v/>
      </c>
      <c r="E14" s="7">
        <f>IF(B14=0,"—",C14/B14)</f>
        <v/>
      </c>
      <c r="F14" s="8">
        <f>IF(B14=0,"",REPT("▓",MIN(20,INT(C14/B14*20)))&amp;REPT("░",MAX(0,20-MIN(20,INT(C14/B14*20)))))</f>
        <v/>
      </c>
      <c r="G14" s="9">
        <f>IF(C14="","⬜",IF(C14/B14&lt;0.8,"🟢",IF(C14/B14&lt;=1,"🟡","🔴")))</f>
        <v/>
      </c>
    </row>
    <row r="15" ht="18" customHeight="1">
      <c r="A15" s="4" t="inlineStr">
        <is>
          <t>Téléphone/Internet</t>
        </is>
      </c>
      <c r="B15" s="5" t="n"/>
      <c r="C15" s="5" t="n"/>
      <c r="D15" s="6">
        <f>B15-C15</f>
        <v/>
      </c>
      <c r="E15" s="7">
        <f>IF(B15=0,"—",C15/B15)</f>
        <v/>
      </c>
      <c r="F15" s="8">
        <f>IF(B15=0,"",REPT("▓",MIN(20,INT(C15/B15*20)))&amp;REPT("░",MAX(0,20-MIN(20,INT(C15/B15*20)))))</f>
        <v/>
      </c>
      <c r="G15" s="9">
        <f>IF(C15="","⬜",IF(C15/B15&lt;0.8,"🟢",IF(C15/B15&lt;=1,"🟡","🔴")))</f>
        <v/>
      </c>
    </row>
    <row r="16" ht="20" customHeight="1">
      <c r="A16" s="10" t="inlineStr">
        <is>
          <t>TOTAL</t>
        </is>
      </c>
      <c r="B16" s="11">
        <f>SUM(B12:B15)</f>
        <v/>
      </c>
      <c r="C16" s="11">
        <f>SUM(C12:C15)</f>
        <v/>
      </c>
      <c r="D16" s="11">
        <f>B16-C16</f>
        <v/>
      </c>
      <c r="E16" s="12">
        <f>IF(B16=0,"—",C16/B16)</f>
        <v/>
      </c>
      <c r="F16" s="13" t="n"/>
      <c r="G16" s="13" t="n"/>
    </row>
    <row r="17" ht="8" customHeight="1">
      <c r="A17" s="14" t="n"/>
      <c r="B17" s="14" t="n"/>
      <c r="C17" s="14" t="n"/>
      <c r="D17" s="14" t="n"/>
      <c r="E17" s="14" t="n"/>
      <c r="F17" s="14" t="n"/>
      <c r="G17" s="14" t="n"/>
    </row>
    <row r="18" ht="22" customHeight="1">
      <c r="A18" s="2" t="inlineStr">
        <is>
          <t>🛒 DÉPENSES VARIABLES</t>
        </is>
      </c>
    </row>
    <row r="19" ht="18" customHeight="1">
      <c r="A19" s="3" t="inlineStr">
        <is>
          <t>Catégorie</t>
        </is>
      </c>
      <c r="B19" s="3" t="inlineStr">
        <is>
          <t>Budget Prévu</t>
        </is>
      </c>
      <c r="C19" s="3" t="inlineStr">
        <is>
          <t>Réel</t>
        </is>
      </c>
      <c r="D19" s="3" t="inlineStr">
        <is>
          <t>Écart</t>
        </is>
      </c>
      <c r="E19" s="3" t="inlineStr">
        <is>
          <t>%</t>
        </is>
      </c>
      <c r="F19" s="3" t="inlineStr">
        <is>
          <t>Progression</t>
        </is>
      </c>
      <c r="G19" s="3" t="inlineStr">
        <is>
          <t>✓</t>
        </is>
      </c>
    </row>
    <row r="20" ht="18" customHeight="1">
      <c r="A20" s="4" t="inlineStr">
        <is>
          <t>Alimentation</t>
        </is>
      </c>
      <c r="B20" s="5" t="n"/>
      <c r="C20" s="5" t="n"/>
      <c r="D20" s="6">
        <f>B20-C20</f>
        <v/>
      </c>
      <c r="E20" s="7">
        <f>IF(B20=0,"—",C20/B20)</f>
        <v/>
      </c>
      <c r="F20" s="8">
        <f>IF(B20=0,"",REPT("▓",MIN(20,INT(C20/B20*20)))&amp;REPT("░",MAX(0,20-MIN(20,INT(C20/B20*20)))))</f>
        <v/>
      </c>
      <c r="G20" s="9">
        <f>IF(C20="","⬜",IF(C20/B20&lt;0.8,"🟢",IF(C20/B20&lt;=1,"🟡","🔴")))</f>
        <v/>
      </c>
    </row>
    <row r="21" ht="18" customHeight="1">
      <c r="A21" s="4" t="inlineStr">
        <is>
          <t>Transport</t>
        </is>
      </c>
      <c r="B21" s="5" t="n"/>
      <c r="C21" s="5" t="n"/>
      <c r="D21" s="6">
        <f>B21-C21</f>
        <v/>
      </c>
      <c r="E21" s="7">
        <f>IF(B21=0,"—",C21/B21)</f>
        <v/>
      </c>
      <c r="F21" s="8">
        <f>IF(B21=0,"",REPT("▓",MIN(20,INT(C21/B21*20)))&amp;REPT("░",MAX(0,20-MIN(20,INT(C21/B21*20)))))</f>
        <v/>
      </c>
      <c r="G21" s="9">
        <f>IF(C21="","⬜",IF(C21/B21&lt;0.8,"🟢",IF(C21/B21&lt;=1,"🟡","🔴")))</f>
        <v/>
      </c>
    </row>
    <row r="22" ht="18" customHeight="1">
      <c r="A22" s="4" t="inlineStr">
        <is>
          <t>Santé</t>
        </is>
      </c>
      <c r="B22" s="5" t="n"/>
      <c r="C22" s="5" t="n"/>
      <c r="D22" s="6">
        <f>B22-C22</f>
        <v/>
      </c>
      <c r="E22" s="7">
        <f>IF(B22=0,"—",C22/B22)</f>
        <v/>
      </c>
      <c r="F22" s="8">
        <f>IF(B22=0,"",REPT("▓",MIN(20,INT(C22/B22*20)))&amp;REPT("░",MAX(0,20-MIN(20,INT(C22/B22*20)))))</f>
        <v/>
      </c>
      <c r="G22" s="9">
        <f>IF(C22="","⬜",IF(C22/B22&lt;0.8,"🟢",IF(C22/B22&lt;=1,"🟡","🔴")))</f>
        <v/>
      </c>
    </row>
    <row r="23" ht="18" customHeight="1">
      <c r="A23" s="4" t="inlineStr">
        <is>
          <t>Loisirs</t>
        </is>
      </c>
      <c r="B23" s="5" t="n"/>
      <c r="C23" s="5" t="n"/>
      <c r="D23" s="6">
        <f>B23-C23</f>
        <v/>
      </c>
      <c r="E23" s="7">
        <f>IF(B23=0,"—",C23/B23)</f>
        <v/>
      </c>
      <c r="F23" s="8">
        <f>IF(B23=0,"",REPT("▓",MIN(20,INT(C23/B23*20)))&amp;REPT("░",MAX(0,20-MIN(20,INT(C23/B23*20)))))</f>
        <v/>
      </c>
      <c r="G23" s="9">
        <f>IF(C23="","⬜",IF(C23/B23&lt;0.8,"🟢",IF(C23/B23&lt;=1,"🟡","🔴")))</f>
        <v/>
      </c>
    </row>
    <row r="24" ht="18" customHeight="1">
      <c r="A24" s="4" t="inlineStr">
        <is>
          <t>Shopping</t>
        </is>
      </c>
      <c r="B24" s="5" t="n"/>
      <c r="C24" s="5" t="n"/>
      <c r="D24" s="6">
        <f>B24-C24</f>
        <v/>
      </c>
      <c r="E24" s="7">
        <f>IF(B24=0,"—",C24/B24)</f>
        <v/>
      </c>
      <c r="F24" s="8">
        <f>IF(B24=0,"",REPT("▓",MIN(20,INT(C24/B24*20)))&amp;REPT("░",MAX(0,20-MIN(20,INT(C24/B24*20)))))</f>
        <v/>
      </c>
      <c r="G24" s="9">
        <f>IF(C24="","⬜",IF(C24/B24&lt;0.8,"🟢",IF(C24/B24&lt;=1,"🟡","🔴")))</f>
        <v/>
      </c>
    </row>
    <row r="25" ht="18" customHeight="1">
      <c r="A25" s="4" t="inlineStr">
        <is>
          <t>Restaurant</t>
        </is>
      </c>
      <c r="B25" s="5" t="n"/>
      <c r="C25" s="5" t="n"/>
      <c r="D25" s="6">
        <f>B25-C25</f>
        <v/>
      </c>
      <c r="E25" s="7">
        <f>IF(B25=0,"—",C25/B25)</f>
        <v/>
      </c>
      <c r="F25" s="8">
        <f>IF(B25=0,"",REPT("▓",MIN(20,INT(C25/B25*20)))&amp;REPT("░",MAX(0,20-MIN(20,INT(C25/B25*20)))))</f>
        <v/>
      </c>
      <c r="G25" s="9">
        <f>IF(C25="","⬜",IF(C25/B25&lt;0.8,"🟢",IF(C25/B25&lt;=1,"🟡","🔴")))</f>
        <v/>
      </c>
    </row>
    <row r="26" ht="18" customHeight="1">
      <c r="A26" s="4" t="inlineStr">
        <is>
          <t>Beauté</t>
        </is>
      </c>
      <c r="B26" s="5" t="n"/>
      <c r="C26" s="5" t="n"/>
      <c r="D26" s="6">
        <f>B26-C26</f>
        <v/>
      </c>
      <c r="E26" s="7">
        <f>IF(B26=0,"—",C26/B26)</f>
        <v/>
      </c>
      <c r="F26" s="8">
        <f>IF(B26=0,"",REPT("▓",MIN(20,INT(C26/B26*20)))&amp;REPT("░",MAX(0,20-MIN(20,INT(C26/B26*20)))))</f>
        <v/>
      </c>
      <c r="G26" s="9">
        <f>IF(C26="","⬜",IF(C26/B26&lt;0.8,"🟢",IF(C26/B26&lt;=1,"🟡","🔴")))</f>
        <v/>
      </c>
    </row>
    <row r="27" ht="18" customHeight="1">
      <c r="A27" s="4" t="inlineStr">
        <is>
          <t>Autre</t>
        </is>
      </c>
      <c r="B27" s="5" t="n"/>
      <c r="C27" s="5" t="n"/>
      <c r="D27" s="6">
        <f>B27-C27</f>
        <v/>
      </c>
      <c r="E27" s="7">
        <f>IF(B27=0,"—",C27/B27)</f>
        <v/>
      </c>
      <c r="F27" s="8">
        <f>IF(B27=0,"",REPT("▓",MIN(20,INT(C27/B27*20)))&amp;REPT("░",MAX(0,20-MIN(20,INT(C27/B27*20)))))</f>
        <v/>
      </c>
      <c r="G27" s="9">
        <f>IF(C27="","⬜",IF(C27/B27&lt;0.8,"🟢",IF(C27/B27&lt;=1,"🟡","🔴")))</f>
        <v/>
      </c>
    </row>
    <row r="28" ht="20" customHeight="1">
      <c r="A28" s="10" t="inlineStr">
        <is>
          <t>TOTAL</t>
        </is>
      </c>
      <c r="B28" s="11">
        <f>SUM(B20:B27)</f>
        <v/>
      </c>
      <c r="C28" s="11">
        <f>SUM(C20:C27)</f>
        <v/>
      </c>
      <c r="D28" s="11">
        <f>B28-C28</f>
        <v/>
      </c>
      <c r="E28" s="12">
        <f>IF(B28=0,"—",C28/B28)</f>
        <v/>
      </c>
      <c r="F28" s="13" t="n"/>
      <c r="G28" s="13" t="n"/>
    </row>
    <row r="29" ht="8" customHeight="1">
      <c r="A29" s="14" t="n"/>
      <c r="B29" s="14" t="n"/>
      <c r="C29" s="14" t="n"/>
      <c r="D29" s="14" t="n"/>
      <c r="E29" s="14" t="n"/>
      <c r="F29" s="14" t="n"/>
      <c r="G29" s="14" t="n"/>
    </row>
    <row r="30" ht="22" customHeight="1">
      <c r="A30" s="2" t="inlineStr">
        <is>
          <t>💳 CRÉDITS</t>
        </is>
      </c>
    </row>
    <row r="31" ht="18" customHeight="1">
      <c r="A31" s="3" t="inlineStr">
        <is>
          <t>Catégorie</t>
        </is>
      </c>
      <c r="B31" s="3" t="inlineStr">
        <is>
          <t>Budget Prévu</t>
        </is>
      </c>
      <c r="C31" s="3" t="inlineStr">
        <is>
          <t>Réel</t>
        </is>
      </c>
      <c r="D31" s="3" t="inlineStr">
        <is>
          <t>Écart</t>
        </is>
      </c>
      <c r="E31" s="3" t="inlineStr">
        <is>
          <t>%</t>
        </is>
      </c>
      <c r="F31" s="3" t="inlineStr">
        <is>
          <t>Progression</t>
        </is>
      </c>
      <c r="G31" s="3" t="inlineStr">
        <is>
          <t>✓</t>
        </is>
      </c>
    </row>
    <row r="32" ht="18" customHeight="1">
      <c r="A32" s="4" t="inlineStr">
        <is>
          <t>Crédit auto</t>
        </is>
      </c>
      <c r="B32" s="5" t="n"/>
      <c r="C32" s="5" t="n"/>
      <c r="D32" s="6">
        <f>B32-C32</f>
        <v/>
      </c>
      <c r="E32" s="7">
        <f>IF(B32=0,"—",C32/B32)</f>
        <v/>
      </c>
      <c r="F32" s="8">
        <f>IF(B32=0,"",REPT("▓",MIN(20,INT(C32/B32*20)))&amp;REPT("░",MAX(0,20-MIN(20,INT(C32/B32*20)))))</f>
        <v/>
      </c>
      <c r="G32" s="9">
        <f>IF(C32="","⬜",IF(C32/B32&lt;0.8,"🟢",IF(C32/B32&lt;=1,"🟡","🔴")))</f>
        <v/>
      </c>
    </row>
    <row r="33" ht="18" customHeight="1">
      <c r="A33" s="4" t="inlineStr">
        <is>
          <t>Crédit conso</t>
        </is>
      </c>
      <c r="B33" s="5" t="n"/>
      <c r="C33" s="5" t="n"/>
      <c r="D33" s="6">
        <f>B33-C33</f>
        <v/>
      </c>
      <c r="E33" s="7">
        <f>IF(B33=0,"—",C33/B33)</f>
        <v/>
      </c>
      <c r="F33" s="8">
        <f>IF(B33=0,"",REPT("▓",MIN(20,INT(C33/B33*20)))&amp;REPT("░",MAX(0,20-MIN(20,INT(C33/B33*20)))))</f>
        <v/>
      </c>
      <c r="G33" s="9">
        <f>IF(C33="","⬜",IF(C33/B33&lt;0.8,"🟢",IF(C33/B33&lt;=1,"🟡","🔴")))</f>
        <v/>
      </c>
    </row>
    <row r="34" ht="18" customHeight="1">
      <c r="A34" s="4" t="inlineStr">
        <is>
          <t>Autre crédit</t>
        </is>
      </c>
      <c r="B34" s="5" t="n"/>
      <c r="C34" s="5" t="n"/>
      <c r="D34" s="6">
        <f>B34-C34</f>
        <v/>
      </c>
      <c r="E34" s="7">
        <f>IF(B34=0,"—",C34/B34)</f>
        <v/>
      </c>
      <c r="F34" s="8">
        <f>IF(B34=0,"",REPT("▓",MIN(20,INT(C34/B34*20)))&amp;REPT("░",MAX(0,20-MIN(20,INT(C34/B34*20)))))</f>
        <v/>
      </c>
      <c r="G34" s="9">
        <f>IF(C34="","⬜",IF(C34/B34&lt;0.8,"🟢",IF(C34/B34&lt;=1,"🟡","🔴")))</f>
        <v/>
      </c>
    </row>
    <row r="35" ht="20" customHeight="1">
      <c r="A35" s="10" t="inlineStr">
        <is>
          <t>TOTAL</t>
        </is>
      </c>
      <c r="B35" s="11">
        <f>SUM(B32:B34)</f>
        <v/>
      </c>
      <c r="C35" s="11">
        <f>SUM(C32:C34)</f>
        <v/>
      </c>
      <c r="D35" s="11">
        <f>B35-C35</f>
        <v/>
      </c>
      <c r="E35" s="12">
        <f>IF(B35=0,"—",C35/B35)</f>
        <v/>
      </c>
      <c r="F35" s="13" t="n"/>
      <c r="G35" s="13" t="n"/>
    </row>
    <row r="36" ht="8" customHeight="1">
      <c r="A36" s="14" t="n"/>
      <c r="B36" s="14" t="n"/>
      <c r="C36" s="14" t="n"/>
      <c r="D36" s="14" t="n"/>
      <c r="E36" s="14" t="n"/>
      <c r="F36" s="14" t="n"/>
      <c r="G36" s="14" t="n"/>
    </row>
    <row r="37" ht="22" customHeight="1">
      <c r="A37" s="2" t="inlineStr">
        <is>
          <t>🏦 ÉPARGNE</t>
        </is>
      </c>
    </row>
    <row r="38" ht="18" customHeight="1">
      <c r="A38" s="3" t="inlineStr">
        <is>
          <t>Catégorie</t>
        </is>
      </c>
      <c r="B38" s="3" t="inlineStr">
        <is>
          <t>Budget Prévu</t>
        </is>
      </c>
      <c r="C38" s="3" t="inlineStr">
        <is>
          <t>Réel</t>
        </is>
      </c>
      <c r="D38" s="3" t="inlineStr">
        <is>
          <t>Écart</t>
        </is>
      </c>
      <c r="E38" s="3" t="inlineStr">
        <is>
          <t>%</t>
        </is>
      </c>
      <c r="F38" s="3" t="inlineStr">
        <is>
          <t>Progression</t>
        </is>
      </c>
      <c r="G38" s="3" t="inlineStr">
        <is>
          <t>✓</t>
        </is>
      </c>
    </row>
    <row r="39" ht="18" customHeight="1">
      <c r="A39" s="4" t="inlineStr">
        <is>
          <t>Livret A</t>
        </is>
      </c>
      <c r="B39" s="5" t="n"/>
      <c r="C39" s="5" t="n"/>
      <c r="D39" s="6">
        <f>B39-C39</f>
        <v/>
      </c>
      <c r="E39" s="7">
        <f>IF(B39=0,"—",C39/B39)</f>
        <v/>
      </c>
      <c r="F39" s="8">
        <f>IF(B39=0,"",REPT("▓",MIN(20,INT(C39/B39*20)))&amp;REPT("░",MAX(0,20-MIN(20,INT(C39/B39*20)))))</f>
        <v/>
      </c>
      <c r="G39" s="9">
        <f>IF(C39="","⬜",IF(C39/B39&lt;0.8,"🟢",IF(C39/B39&lt;=1,"🟡","🔴")))</f>
        <v/>
      </c>
    </row>
    <row r="40" ht="18" customHeight="1">
      <c r="A40" s="4" t="inlineStr">
        <is>
          <t>PEL</t>
        </is>
      </c>
      <c r="B40" s="5" t="n"/>
      <c r="C40" s="5" t="n"/>
      <c r="D40" s="6">
        <f>B40-C40</f>
        <v/>
      </c>
      <c r="E40" s="7">
        <f>IF(B40=0,"—",C40/B40)</f>
        <v/>
      </c>
      <c r="F40" s="8">
        <f>IF(B40=0,"",REPT("▓",MIN(20,INT(C40/B40*20)))&amp;REPT("░",MAX(0,20-MIN(20,INT(C40/B40*20)))))</f>
        <v/>
      </c>
      <c r="G40" s="9">
        <f>IF(C40="","⬜",IF(C40/B40&lt;0.8,"🟢",IF(C40/B40&lt;=1,"🟡","🔴")))</f>
        <v/>
      </c>
    </row>
    <row r="41" ht="18" customHeight="1">
      <c r="A41" s="4" t="inlineStr">
        <is>
          <t>Assurance-vie</t>
        </is>
      </c>
      <c r="B41" s="5" t="n"/>
      <c r="C41" s="5" t="n"/>
      <c r="D41" s="6">
        <f>B41-C41</f>
        <v/>
      </c>
      <c r="E41" s="7">
        <f>IF(B41=0,"—",C41/B41)</f>
        <v/>
      </c>
      <c r="F41" s="8">
        <f>IF(B41=0,"",REPT("▓",MIN(20,INT(C41/B41*20)))&amp;REPT("░",MAX(0,20-MIN(20,INT(C41/B41*20)))))</f>
        <v/>
      </c>
      <c r="G41" s="9">
        <f>IF(C41="","⬜",IF(C41/B41&lt;0.8,"🟢",IF(C41/B41&lt;=1,"🟡","🔴")))</f>
        <v/>
      </c>
    </row>
    <row r="42" ht="18" customHeight="1">
      <c r="A42" s="4" t="inlineStr">
        <is>
          <t>Investissements</t>
        </is>
      </c>
      <c r="B42" s="5" t="n"/>
      <c r="C42" s="5" t="n"/>
      <c r="D42" s="6">
        <f>B42-C42</f>
        <v/>
      </c>
      <c r="E42" s="7">
        <f>IF(B42=0,"—",C42/B42)</f>
        <v/>
      </c>
      <c r="F42" s="8">
        <f>IF(B42=0,"",REPT("▓",MIN(20,INT(C42/B42*20)))&amp;REPT("░",MAX(0,20-MIN(20,INT(C42/B42*20)))))</f>
        <v/>
      </c>
      <c r="G42" s="9">
        <f>IF(C42="","⬜",IF(C42/B42&lt;0.8,"🟢",IF(C42/B42&lt;=1,"🟡","🔴")))</f>
        <v/>
      </c>
    </row>
    <row r="43" ht="20" customHeight="1">
      <c r="A43" s="10" t="inlineStr">
        <is>
          <t>TOTAL</t>
        </is>
      </c>
      <c r="B43" s="11">
        <f>SUM(B39:B42)</f>
        <v/>
      </c>
      <c r="C43" s="11">
        <f>SUM(C39:C42)</f>
        <v/>
      </c>
      <c r="D43" s="11">
        <f>B43-C43</f>
        <v/>
      </c>
      <c r="E43" s="12">
        <f>IF(B43=0,"—",C43/B43)</f>
        <v/>
      </c>
      <c r="F43" s="13" t="n"/>
      <c r="G43" s="13" t="n"/>
    </row>
    <row r="44" ht="8" customHeight="1">
      <c r="A44" s="14" t="n"/>
      <c r="B44" s="14" t="n"/>
      <c r="C44" s="14" t="n"/>
      <c r="D44" s="14" t="n"/>
      <c r="E44" s="14" t="n"/>
      <c r="F44" s="14" t="n"/>
      <c r="G44" s="14" t="n"/>
    </row>
    <row r="46" ht="22" customHeight="1">
      <c r="A46" s="15" t="inlineStr">
        <is>
          <t>Total Revenus</t>
        </is>
      </c>
      <c r="B46" s="13" t="n"/>
      <c r="C46" s="16">
        <f>C8</f>
        <v/>
      </c>
      <c r="D46" s="13" t="n"/>
      <c r="E46" s="13" t="n"/>
      <c r="F46" s="13" t="n"/>
      <c r="G46" s="13" t="n"/>
    </row>
    <row r="47" ht="22" customHeight="1">
      <c r="A47" s="15" t="inlineStr">
        <is>
          <t>Total Dépenses</t>
        </is>
      </c>
      <c r="B47" s="13" t="n"/>
      <c r="C47" s="16">
        <f>C16+C28+C35</f>
        <v/>
      </c>
      <c r="D47" s="13" t="n"/>
      <c r="E47" s="13" t="n"/>
      <c r="F47" s="13" t="n"/>
      <c r="G47" s="13" t="n"/>
    </row>
    <row r="48" ht="22" customHeight="1">
      <c r="A48" s="17" t="inlineStr">
        <is>
          <t>Solde du mois</t>
        </is>
      </c>
      <c r="B48" s="18" t="n"/>
      <c r="C48" s="19">
        <f>C46-C47</f>
        <v/>
      </c>
      <c r="D48" s="18" t="n"/>
      <c r="E48" s="18" t="n"/>
      <c r="F48" s="18" t="n"/>
      <c r="G48" s="18" t="n"/>
    </row>
    <row r="49" ht="22" customHeight="1">
      <c r="A49" s="17" t="inlineStr">
        <is>
          <t>Taux d'épargne</t>
        </is>
      </c>
      <c r="B49" s="18" t="n"/>
      <c r="C49" s="20">
        <f>IF(C46=0,"—",C48/C46)</f>
        <v/>
      </c>
      <c r="D49" s="18" t="n"/>
      <c r="E49" s="18" t="n"/>
      <c r="F49" s="18" t="n"/>
      <c r="G49" s="18" t="n"/>
    </row>
    <row r="50" ht="22" customHeight="1">
      <c r="A50" s="15" t="inlineStr">
        <is>
          <t>Objectif Épargne</t>
        </is>
      </c>
      <c r="B50" s="13" t="n"/>
      <c r="C50" s="21" t="n"/>
      <c r="D50" s="13" t="n"/>
      <c r="E50" s="13" t="n"/>
      <c r="F50" s="13" t="n"/>
      <c r="G50" s="13" t="n"/>
    </row>
  </sheetData>
  <mergeCells count="6">
    <mergeCell ref="A1:G1"/>
    <mergeCell ref="A18:G18"/>
    <mergeCell ref="A30:G30"/>
    <mergeCell ref="A2:G2"/>
    <mergeCell ref="A10:G10"/>
    <mergeCell ref="A37:G3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3460"/>
    <outlinePr summaryBelow="1" summaryRight="1"/>
    <pageSetUpPr/>
  </sheetPr>
  <dimension ref="A1:G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0" customWidth="1" min="5" max="5"/>
    <col width="22" customWidth="1" min="6" max="6"/>
    <col width="6" customWidth="1" min="7" max="7"/>
  </cols>
  <sheetData>
    <row r="1" ht="36" customHeight="1">
      <c r="A1" s="1" t="inlineStr">
        <is>
          <t>📅 OCTOBRE</t>
        </is>
      </c>
    </row>
    <row r="2" ht="22" customHeight="1">
      <c r="A2" s="2" t="inlineStr">
        <is>
          <t>💰 REVENUS</t>
        </is>
      </c>
    </row>
    <row r="3" ht="18" customHeight="1">
      <c r="A3" s="3" t="inlineStr">
        <is>
          <t>Catégorie</t>
        </is>
      </c>
      <c r="B3" s="3" t="inlineStr">
        <is>
          <t>Budget Prévu</t>
        </is>
      </c>
      <c r="C3" s="3" t="inlineStr">
        <is>
          <t>Réel</t>
        </is>
      </c>
      <c r="D3" s="3" t="inlineStr">
        <is>
          <t>Écart</t>
        </is>
      </c>
      <c r="E3" s="3" t="inlineStr">
        <is>
          <t>%</t>
        </is>
      </c>
      <c r="F3" s="3" t="inlineStr">
        <is>
          <t>Progression</t>
        </is>
      </c>
      <c r="G3" s="3" t="inlineStr">
        <is>
          <t>✓</t>
        </is>
      </c>
    </row>
    <row r="4" ht="18" customHeight="1">
      <c r="A4" s="4" t="inlineStr">
        <is>
          <t>Salaire</t>
        </is>
      </c>
      <c r="B4" s="5" t="n"/>
      <c r="C4" s="5" t="n"/>
      <c r="D4" s="6">
        <f>B4-C4</f>
        <v/>
      </c>
      <c r="E4" s="7">
        <f>IF(B4=0,"—",C4/B4)</f>
        <v/>
      </c>
      <c r="F4" s="8">
        <f>IF(B4=0,"",REPT("▓",MIN(20,INT(C4/B4*20)))&amp;REPT("░",MAX(0,20-MIN(20,INT(C4/B4*20)))))</f>
        <v/>
      </c>
      <c r="G4" s="9">
        <f>IF(C4="","⬜",IF(C4/B4&lt;0.8,"🟢",IF(C4/B4&lt;=1,"🟡","🔴")))</f>
        <v/>
      </c>
    </row>
    <row r="5" ht="18" customHeight="1">
      <c r="A5" s="4" t="inlineStr">
        <is>
          <t>Freelance</t>
        </is>
      </c>
      <c r="B5" s="5" t="n"/>
      <c r="C5" s="5" t="n"/>
      <c r="D5" s="6">
        <f>B5-C5</f>
        <v/>
      </c>
      <c r="E5" s="7">
        <f>IF(B5=0,"—",C5/B5)</f>
        <v/>
      </c>
      <c r="F5" s="8">
        <f>IF(B5=0,"",REPT("▓",MIN(20,INT(C5/B5*20)))&amp;REPT("░",MAX(0,20-MIN(20,INT(C5/B5*20)))))</f>
        <v/>
      </c>
      <c r="G5" s="9">
        <f>IF(C5="","⬜",IF(C5/B5&lt;0.8,"🟢",IF(C5/B5&lt;=1,"🟡","🔴")))</f>
        <v/>
      </c>
    </row>
    <row r="6" ht="18" customHeight="1">
      <c r="A6" s="4" t="inlineStr">
        <is>
          <t>Aides/APL</t>
        </is>
      </c>
      <c r="B6" s="5" t="n"/>
      <c r="C6" s="5" t="n"/>
      <c r="D6" s="6">
        <f>B6-C6</f>
        <v/>
      </c>
      <c r="E6" s="7">
        <f>IF(B6=0,"—",C6/B6)</f>
        <v/>
      </c>
      <c r="F6" s="8">
        <f>IF(B6=0,"",REPT("▓",MIN(20,INT(C6/B6*20)))&amp;REPT("░",MAX(0,20-MIN(20,INT(C6/B6*20)))))</f>
        <v/>
      </c>
      <c r="G6" s="9">
        <f>IF(C6="","⬜",IF(C6/B6&lt;0.8,"🟢",IF(C6/B6&lt;=1,"🟡","🔴")))</f>
        <v/>
      </c>
    </row>
    <row r="7" ht="18" customHeight="1">
      <c r="A7" s="4" t="inlineStr">
        <is>
          <t>Autres revenus</t>
        </is>
      </c>
      <c r="B7" s="5" t="n"/>
      <c r="C7" s="5" t="n"/>
      <c r="D7" s="6">
        <f>B7-C7</f>
        <v/>
      </c>
      <c r="E7" s="7">
        <f>IF(B7=0,"—",C7/B7)</f>
        <v/>
      </c>
      <c r="F7" s="8">
        <f>IF(B7=0,"",REPT("▓",MIN(20,INT(C7/B7*20)))&amp;REPT("░",MAX(0,20-MIN(20,INT(C7/B7*20)))))</f>
        <v/>
      </c>
      <c r="G7" s="9">
        <f>IF(C7="","⬜",IF(C7/B7&lt;0.8,"🟢",IF(C7/B7&lt;=1,"🟡","🔴")))</f>
        <v/>
      </c>
    </row>
    <row r="8" ht="20" customHeight="1">
      <c r="A8" s="10" t="inlineStr">
        <is>
          <t>TOTAL</t>
        </is>
      </c>
      <c r="B8" s="11">
        <f>SUM(B4:B7)</f>
        <v/>
      </c>
      <c r="C8" s="11">
        <f>SUM(C4:C7)</f>
        <v/>
      </c>
      <c r="D8" s="11">
        <f>B8-C8</f>
        <v/>
      </c>
      <c r="E8" s="12">
        <f>IF(B8=0,"—",C8/B8)</f>
        <v/>
      </c>
      <c r="F8" s="13" t="n"/>
      <c r="G8" s="13" t="n"/>
    </row>
    <row r="9" ht="8" customHeight="1">
      <c r="A9" s="14" t="n"/>
      <c r="B9" s="14" t="n"/>
      <c r="C9" s="14" t="n"/>
      <c r="D9" s="14" t="n"/>
      <c r="E9" s="14" t="n"/>
      <c r="F9" s="14" t="n"/>
      <c r="G9" s="14" t="n"/>
    </row>
    <row r="10" ht="22" customHeight="1">
      <c r="A10" s="2" t="inlineStr">
        <is>
          <t>🏠 DÉPENSES FIXES</t>
        </is>
      </c>
    </row>
    <row r="11" ht="18" customHeight="1">
      <c r="A11" s="3" t="inlineStr">
        <is>
          <t>Catégorie</t>
        </is>
      </c>
      <c r="B11" s="3" t="inlineStr">
        <is>
          <t>Budget Prévu</t>
        </is>
      </c>
      <c r="C11" s="3" t="inlineStr">
        <is>
          <t>Réel</t>
        </is>
      </c>
      <c r="D11" s="3" t="inlineStr">
        <is>
          <t>Écart</t>
        </is>
      </c>
      <c r="E11" s="3" t="inlineStr">
        <is>
          <t>%</t>
        </is>
      </c>
      <c r="F11" s="3" t="inlineStr">
        <is>
          <t>Progression</t>
        </is>
      </c>
      <c r="G11" s="3" t="inlineStr">
        <is>
          <t>✓</t>
        </is>
      </c>
    </row>
    <row r="12" ht="18" customHeight="1">
      <c r="A12" s="4" t="inlineStr">
        <is>
          <t>Loyer/Crédit</t>
        </is>
      </c>
      <c r="B12" s="5" t="n"/>
      <c r="C12" s="5" t="n"/>
      <c r="D12" s="6">
        <f>B12-C12</f>
        <v/>
      </c>
      <c r="E12" s="7">
        <f>IF(B12=0,"—",C12/B12)</f>
        <v/>
      </c>
      <c r="F12" s="8">
        <f>IF(B12=0,"",REPT("▓",MIN(20,INT(C12/B12*20)))&amp;REPT("░",MAX(0,20-MIN(20,INT(C12/B12*20)))))</f>
        <v/>
      </c>
      <c r="G12" s="9">
        <f>IF(C12="","⬜",IF(C12/B12&lt;0.8,"🟢",IF(C12/B12&lt;=1,"🟡","🔴")))</f>
        <v/>
      </c>
    </row>
    <row r="13" ht="18" customHeight="1">
      <c r="A13" s="4" t="inlineStr">
        <is>
          <t>Assurances</t>
        </is>
      </c>
      <c r="B13" s="5" t="n"/>
      <c r="C13" s="5" t="n"/>
      <c r="D13" s="6">
        <f>B13-C13</f>
        <v/>
      </c>
      <c r="E13" s="7">
        <f>IF(B13=0,"—",C13/B13)</f>
        <v/>
      </c>
      <c r="F13" s="8">
        <f>IF(B13=0,"",REPT("▓",MIN(20,INT(C13/B13*20)))&amp;REPT("░",MAX(0,20-MIN(20,INT(C13/B13*20)))))</f>
        <v/>
      </c>
      <c r="G13" s="9">
        <f>IF(C13="","⬜",IF(C13/B13&lt;0.8,"🟢",IF(C13/B13&lt;=1,"🟡","🔴")))</f>
        <v/>
      </c>
    </row>
    <row r="14" ht="18" customHeight="1">
      <c r="A14" s="4" t="inlineStr">
        <is>
          <t>Abonnements</t>
        </is>
      </c>
      <c r="B14" s="5" t="n"/>
      <c r="C14" s="5" t="n"/>
      <c r="D14" s="6">
        <f>B14-C14</f>
        <v/>
      </c>
      <c r="E14" s="7">
        <f>IF(B14=0,"—",C14/B14)</f>
        <v/>
      </c>
      <c r="F14" s="8">
        <f>IF(B14=0,"",REPT("▓",MIN(20,INT(C14/B14*20)))&amp;REPT("░",MAX(0,20-MIN(20,INT(C14/B14*20)))))</f>
        <v/>
      </c>
      <c r="G14" s="9">
        <f>IF(C14="","⬜",IF(C14/B14&lt;0.8,"🟢",IF(C14/B14&lt;=1,"🟡","🔴")))</f>
        <v/>
      </c>
    </row>
    <row r="15" ht="18" customHeight="1">
      <c r="A15" s="4" t="inlineStr">
        <is>
          <t>Téléphone/Internet</t>
        </is>
      </c>
      <c r="B15" s="5" t="n"/>
      <c r="C15" s="5" t="n"/>
      <c r="D15" s="6">
        <f>B15-C15</f>
        <v/>
      </c>
      <c r="E15" s="7">
        <f>IF(B15=0,"—",C15/B15)</f>
        <v/>
      </c>
      <c r="F15" s="8">
        <f>IF(B15=0,"",REPT("▓",MIN(20,INT(C15/B15*20)))&amp;REPT("░",MAX(0,20-MIN(20,INT(C15/B15*20)))))</f>
        <v/>
      </c>
      <c r="G15" s="9">
        <f>IF(C15="","⬜",IF(C15/B15&lt;0.8,"🟢",IF(C15/B15&lt;=1,"🟡","🔴")))</f>
        <v/>
      </c>
    </row>
    <row r="16" ht="20" customHeight="1">
      <c r="A16" s="10" t="inlineStr">
        <is>
          <t>TOTAL</t>
        </is>
      </c>
      <c r="B16" s="11">
        <f>SUM(B12:B15)</f>
        <v/>
      </c>
      <c r="C16" s="11">
        <f>SUM(C12:C15)</f>
        <v/>
      </c>
      <c r="D16" s="11">
        <f>B16-C16</f>
        <v/>
      </c>
      <c r="E16" s="12">
        <f>IF(B16=0,"—",C16/B16)</f>
        <v/>
      </c>
      <c r="F16" s="13" t="n"/>
      <c r="G16" s="13" t="n"/>
    </row>
    <row r="17" ht="8" customHeight="1">
      <c r="A17" s="14" t="n"/>
      <c r="B17" s="14" t="n"/>
      <c r="C17" s="14" t="n"/>
      <c r="D17" s="14" t="n"/>
      <c r="E17" s="14" t="n"/>
      <c r="F17" s="14" t="n"/>
      <c r="G17" s="14" t="n"/>
    </row>
    <row r="18" ht="22" customHeight="1">
      <c r="A18" s="2" t="inlineStr">
        <is>
          <t>🛒 DÉPENSES VARIABLES</t>
        </is>
      </c>
    </row>
    <row r="19" ht="18" customHeight="1">
      <c r="A19" s="3" t="inlineStr">
        <is>
          <t>Catégorie</t>
        </is>
      </c>
      <c r="B19" s="3" t="inlineStr">
        <is>
          <t>Budget Prévu</t>
        </is>
      </c>
      <c r="C19" s="3" t="inlineStr">
        <is>
          <t>Réel</t>
        </is>
      </c>
      <c r="D19" s="3" t="inlineStr">
        <is>
          <t>Écart</t>
        </is>
      </c>
      <c r="E19" s="3" t="inlineStr">
        <is>
          <t>%</t>
        </is>
      </c>
      <c r="F19" s="3" t="inlineStr">
        <is>
          <t>Progression</t>
        </is>
      </c>
      <c r="G19" s="3" t="inlineStr">
        <is>
          <t>✓</t>
        </is>
      </c>
    </row>
    <row r="20" ht="18" customHeight="1">
      <c r="A20" s="4" t="inlineStr">
        <is>
          <t>Alimentation</t>
        </is>
      </c>
      <c r="B20" s="5" t="n"/>
      <c r="C20" s="5" t="n"/>
      <c r="D20" s="6">
        <f>B20-C20</f>
        <v/>
      </c>
      <c r="E20" s="7">
        <f>IF(B20=0,"—",C20/B20)</f>
        <v/>
      </c>
      <c r="F20" s="8">
        <f>IF(B20=0,"",REPT("▓",MIN(20,INT(C20/B20*20)))&amp;REPT("░",MAX(0,20-MIN(20,INT(C20/B20*20)))))</f>
        <v/>
      </c>
      <c r="G20" s="9">
        <f>IF(C20="","⬜",IF(C20/B20&lt;0.8,"🟢",IF(C20/B20&lt;=1,"🟡","🔴")))</f>
        <v/>
      </c>
    </row>
    <row r="21" ht="18" customHeight="1">
      <c r="A21" s="4" t="inlineStr">
        <is>
          <t>Transport</t>
        </is>
      </c>
      <c r="B21" s="5" t="n"/>
      <c r="C21" s="5" t="n"/>
      <c r="D21" s="6">
        <f>B21-C21</f>
        <v/>
      </c>
      <c r="E21" s="7">
        <f>IF(B21=0,"—",C21/B21)</f>
        <v/>
      </c>
      <c r="F21" s="8">
        <f>IF(B21=0,"",REPT("▓",MIN(20,INT(C21/B21*20)))&amp;REPT("░",MAX(0,20-MIN(20,INT(C21/B21*20)))))</f>
        <v/>
      </c>
      <c r="G21" s="9">
        <f>IF(C21="","⬜",IF(C21/B21&lt;0.8,"🟢",IF(C21/B21&lt;=1,"🟡","🔴")))</f>
        <v/>
      </c>
    </row>
    <row r="22" ht="18" customHeight="1">
      <c r="A22" s="4" t="inlineStr">
        <is>
          <t>Santé</t>
        </is>
      </c>
      <c r="B22" s="5" t="n"/>
      <c r="C22" s="5" t="n"/>
      <c r="D22" s="6">
        <f>B22-C22</f>
        <v/>
      </c>
      <c r="E22" s="7">
        <f>IF(B22=0,"—",C22/B22)</f>
        <v/>
      </c>
      <c r="F22" s="8">
        <f>IF(B22=0,"",REPT("▓",MIN(20,INT(C22/B22*20)))&amp;REPT("░",MAX(0,20-MIN(20,INT(C22/B22*20)))))</f>
        <v/>
      </c>
      <c r="G22" s="9">
        <f>IF(C22="","⬜",IF(C22/B22&lt;0.8,"🟢",IF(C22/B22&lt;=1,"🟡","🔴")))</f>
        <v/>
      </c>
    </row>
    <row r="23" ht="18" customHeight="1">
      <c r="A23" s="4" t="inlineStr">
        <is>
          <t>Loisirs</t>
        </is>
      </c>
      <c r="B23" s="5" t="n"/>
      <c r="C23" s="5" t="n"/>
      <c r="D23" s="6">
        <f>B23-C23</f>
        <v/>
      </c>
      <c r="E23" s="7">
        <f>IF(B23=0,"—",C23/B23)</f>
        <v/>
      </c>
      <c r="F23" s="8">
        <f>IF(B23=0,"",REPT("▓",MIN(20,INT(C23/B23*20)))&amp;REPT("░",MAX(0,20-MIN(20,INT(C23/B23*20)))))</f>
        <v/>
      </c>
      <c r="G23" s="9">
        <f>IF(C23="","⬜",IF(C23/B23&lt;0.8,"🟢",IF(C23/B23&lt;=1,"🟡","🔴")))</f>
        <v/>
      </c>
    </row>
    <row r="24" ht="18" customHeight="1">
      <c r="A24" s="4" t="inlineStr">
        <is>
          <t>Shopping</t>
        </is>
      </c>
      <c r="B24" s="5" t="n"/>
      <c r="C24" s="5" t="n"/>
      <c r="D24" s="6">
        <f>B24-C24</f>
        <v/>
      </c>
      <c r="E24" s="7">
        <f>IF(B24=0,"—",C24/B24)</f>
        <v/>
      </c>
      <c r="F24" s="8">
        <f>IF(B24=0,"",REPT("▓",MIN(20,INT(C24/B24*20)))&amp;REPT("░",MAX(0,20-MIN(20,INT(C24/B24*20)))))</f>
        <v/>
      </c>
      <c r="G24" s="9">
        <f>IF(C24="","⬜",IF(C24/B24&lt;0.8,"🟢",IF(C24/B24&lt;=1,"🟡","🔴")))</f>
        <v/>
      </c>
    </row>
    <row r="25" ht="18" customHeight="1">
      <c r="A25" s="4" t="inlineStr">
        <is>
          <t>Restaurant</t>
        </is>
      </c>
      <c r="B25" s="5" t="n"/>
      <c r="C25" s="5" t="n"/>
      <c r="D25" s="6">
        <f>B25-C25</f>
        <v/>
      </c>
      <c r="E25" s="7">
        <f>IF(B25=0,"—",C25/B25)</f>
        <v/>
      </c>
      <c r="F25" s="8">
        <f>IF(B25=0,"",REPT("▓",MIN(20,INT(C25/B25*20)))&amp;REPT("░",MAX(0,20-MIN(20,INT(C25/B25*20)))))</f>
        <v/>
      </c>
      <c r="G25" s="9">
        <f>IF(C25="","⬜",IF(C25/B25&lt;0.8,"🟢",IF(C25/B25&lt;=1,"🟡","🔴")))</f>
        <v/>
      </c>
    </row>
    <row r="26" ht="18" customHeight="1">
      <c r="A26" s="4" t="inlineStr">
        <is>
          <t>Beauté</t>
        </is>
      </c>
      <c r="B26" s="5" t="n"/>
      <c r="C26" s="5" t="n"/>
      <c r="D26" s="6">
        <f>B26-C26</f>
        <v/>
      </c>
      <c r="E26" s="7">
        <f>IF(B26=0,"—",C26/B26)</f>
        <v/>
      </c>
      <c r="F26" s="8">
        <f>IF(B26=0,"",REPT("▓",MIN(20,INT(C26/B26*20)))&amp;REPT("░",MAX(0,20-MIN(20,INT(C26/B26*20)))))</f>
        <v/>
      </c>
      <c r="G26" s="9">
        <f>IF(C26="","⬜",IF(C26/B26&lt;0.8,"🟢",IF(C26/B26&lt;=1,"🟡","🔴")))</f>
        <v/>
      </c>
    </row>
    <row r="27" ht="18" customHeight="1">
      <c r="A27" s="4" t="inlineStr">
        <is>
          <t>Autre</t>
        </is>
      </c>
      <c r="B27" s="5" t="n"/>
      <c r="C27" s="5" t="n"/>
      <c r="D27" s="6">
        <f>B27-C27</f>
        <v/>
      </c>
      <c r="E27" s="7">
        <f>IF(B27=0,"—",C27/B27)</f>
        <v/>
      </c>
      <c r="F27" s="8">
        <f>IF(B27=0,"",REPT("▓",MIN(20,INT(C27/B27*20)))&amp;REPT("░",MAX(0,20-MIN(20,INT(C27/B27*20)))))</f>
        <v/>
      </c>
      <c r="G27" s="9">
        <f>IF(C27="","⬜",IF(C27/B27&lt;0.8,"🟢",IF(C27/B27&lt;=1,"🟡","🔴")))</f>
        <v/>
      </c>
    </row>
    <row r="28" ht="20" customHeight="1">
      <c r="A28" s="10" t="inlineStr">
        <is>
          <t>TOTAL</t>
        </is>
      </c>
      <c r="B28" s="11">
        <f>SUM(B20:B27)</f>
        <v/>
      </c>
      <c r="C28" s="11">
        <f>SUM(C20:C27)</f>
        <v/>
      </c>
      <c r="D28" s="11">
        <f>B28-C28</f>
        <v/>
      </c>
      <c r="E28" s="12">
        <f>IF(B28=0,"—",C28/B28)</f>
        <v/>
      </c>
      <c r="F28" s="13" t="n"/>
      <c r="G28" s="13" t="n"/>
    </row>
    <row r="29" ht="8" customHeight="1">
      <c r="A29" s="14" t="n"/>
      <c r="B29" s="14" t="n"/>
      <c r="C29" s="14" t="n"/>
      <c r="D29" s="14" t="n"/>
      <c r="E29" s="14" t="n"/>
      <c r="F29" s="14" t="n"/>
      <c r="G29" s="14" t="n"/>
    </row>
    <row r="30" ht="22" customHeight="1">
      <c r="A30" s="2" t="inlineStr">
        <is>
          <t>💳 CRÉDITS</t>
        </is>
      </c>
    </row>
    <row r="31" ht="18" customHeight="1">
      <c r="A31" s="3" t="inlineStr">
        <is>
          <t>Catégorie</t>
        </is>
      </c>
      <c r="B31" s="3" t="inlineStr">
        <is>
          <t>Budget Prévu</t>
        </is>
      </c>
      <c r="C31" s="3" t="inlineStr">
        <is>
          <t>Réel</t>
        </is>
      </c>
      <c r="D31" s="3" t="inlineStr">
        <is>
          <t>Écart</t>
        </is>
      </c>
      <c r="E31" s="3" t="inlineStr">
        <is>
          <t>%</t>
        </is>
      </c>
      <c r="F31" s="3" t="inlineStr">
        <is>
          <t>Progression</t>
        </is>
      </c>
      <c r="G31" s="3" t="inlineStr">
        <is>
          <t>✓</t>
        </is>
      </c>
    </row>
    <row r="32" ht="18" customHeight="1">
      <c r="A32" s="4" t="inlineStr">
        <is>
          <t>Crédit auto</t>
        </is>
      </c>
      <c r="B32" s="5" t="n"/>
      <c r="C32" s="5" t="n"/>
      <c r="D32" s="6">
        <f>B32-C32</f>
        <v/>
      </c>
      <c r="E32" s="7">
        <f>IF(B32=0,"—",C32/B32)</f>
        <v/>
      </c>
      <c r="F32" s="8">
        <f>IF(B32=0,"",REPT("▓",MIN(20,INT(C32/B32*20)))&amp;REPT("░",MAX(0,20-MIN(20,INT(C32/B32*20)))))</f>
        <v/>
      </c>
      <c r="G32" s="9">
        <f>IF(C32="","⬜",IF(C32/B32&lt;0.8,"🟢",IF(C32/B32&lt;=1,"🟡","🔴")))</f>
        <v/>
      </c>
    </row>
    <row r="33" ht="18" customHeight="1">
      <c r="A33" s="4" t="inlineStr">
        <is>
          <t>Crédit conso</t>
        </is>
      </c>
      <c r="B33" s="5" t="n"/>
      <c r="C33" s="5" t="n"/>
      <c r="D33" s="6">
        <f>B33-C33</f>
        <v/>
      </c>
      <c r="E33" s="7">
        <f>IF(B33=0,"—",C33/B33)</f>
        <v/>
      </c>
      <c r="F33" s="8">
        <f>IF(B33=0,"",REPT("▓",MIN(20,INT(C33/B33*20)))&amp;REPT("░",MAX(0,20-MIN(20,INT(C33/B33*20)))))</f>
        <v/>
      </c>
      <c r="G33" s="9">
        <f>IF(C33="","⬜",IF(C33/B33&lt;0.8,"🟢",IF(C33/B33&lt;=1,"🟡","🔴")))</f>
        <v/>
      </c>
    </row>
    <row r="34" ht="18" customHeight="1">
      <c r="A34" s="4" t="inlineStr">
        <is>
          <t>Autre crédit</t>
        </is>
      </c>
      <c r="B34" s="5" t="n"/>
      <c r="C34" s="5" t="n"/>
      <c r="D34" s="6">
        <f>B34-C34</f>
        <v/>
      </c>
      <c r="E34" s="7">
        <f>IF(B34=0,"—",C34/B34)</f>
        <v/>
      </c>
      <c r="F34" s="8">
        <f>IF(B34=0,"",REPT("▓",MIN(20,INT(C34/B34*20)))&amp;REPT("░",MAX(0,20-MIN(20,INT(C34/B34*20)))))</f>
        <v/>
      </c>
      <c r="G34" s="9">
        <f>IF(C34="","⬜",IF(C34/B34&lt;0.8,"🟢",IF(C34/B34&lt;=1,"🟡","🔴")))</f>
        <v/>
      </c>
    </row>
    <row r="35" ht="20" customHeight="1">
      <c r="A35" s="10" t="inlineStr">
        <is>
          <t>TOTAL</t>
        </is>
      </c>
      <c r="B35" s="11">
        <f>SUM(B32:B34)</f>
        <v/>
      </c>
      <c r="C35" s="11">
        <f>SUM(C32:C34)</f>
        <v/>
      </c>
      <c r="D35" s="11">
        <f>B35-C35</f>
        <v/>
      </c>
      <c r="E35" s="12">
        <f>IF(B35=0,"—",C35/B35)</f>
        <v/>
      </c>
      <c r="F35" s="13" t="n"/>
      <c r="G35" s="13" t="n"/>
    </row>
    <row r="36" ht="8" customHeight="1">
      <c r="A36" s="14" t="n"/>
      <c r="B36" s="14" t="n"/>
      <c r="C36" s="14" t="n"/>
      <c r="D36" s="14" t="n"/>
      <c r="E36" s="14" t="n"/>
      <c r="F36" s="14" t="n"/>
      <c r="G36" s="14" t="n"/>
    </row>
    <row r="37" ht="22" customHeight="1">
      <c r="A37" s="2" t="inlineStr">
        <is>
          <t>🏦 ÉPARGNE</t>
        </is>
      </c>
    </row>
    <row r="38" ht="18" customHeight="1">
      <c r="A38" s="3" t="inlineStr">
        <is>
          <t>Catégorie</t>
        </is>
      </c>
      <c r="B38" s="3" t="inlineStr">
        <is>
          <t>Budget Prévu</t>
        </is>
      </c>
      <c r="C38" s="3" t="inlineStr">
        <is>
          <t>Réel</t>
        </is>
      </c>
      <c r="D38" s="3" t="inlineStr">
        <is>
          <t>Écart</t>
        </is>
      </c>
      <c r="E38" s="3" t="inlineStr">
        <is>
          <t>%</t>
        </is>
      </c>
      <c r="F38" s="3" t="inlineStr">
        <is>
          <t>Progression</t>
        </is>
      </c>
      <c r="G38" s="3" t="inlineStr">
        <is>
          <t>✓</t>
        </is>
      </c>
    </row>
    <row r="39" ht="18" customHeight="1">
      <c r="A39" s="4" t="inlineStr">
        <is>
          <t>Livret A</t>
        </is>
      </c>
      <c r="B39" s="5" t="n"/>
      <c r="C39" s="5" t="n"/>
      <c r="D39" s="6">
        <f>B39-C39</f>
        <v/>
      </c>
      <c r="E39" s="7">
        <f>IF(B39=0,"—",C39/B39)</f>
        <v/>
      </c>
      <c r="F39" s="8">
        <f>IF(B39=0,"",REPT("▓",MIN(20,INT(C39/B39*20)))&amp;REPT("░",MAX(0,20-MIN(20,INT(C39/B39*20)))))</f>
        <v/>
      </c>
      <c r="G39" s="9">
        <f>IF(C39="","⬜",IF(C39/B39&lt;0.8,"🟢",IF(C39/B39&lt;=1,"🟡","🔴")))</f>
        <v/>
      </c>
    </row>
    <row r="40" ht="18" customHeight="1">
      <c r="A40" s="4" t="inlineStr">
        <is>
          <t>PEL</t>
        </is>
      </c>
      <c r="B40" s="5" t="n"/>
      <c r="C40" s="5" t="n"/>
      <c r="D40" s="6">
        <f>B40-C40</f>
        <v/>
      </c>
      <c r="E40" s="7">
        <f>IF(B40=0,"—",C40/B40)</f>
        <v/>
      </c>
      <c r="F40" s="8">
        <f>IF(B40=0,"",REPT("▓",MIN(20,INT(C40/B40*20)))&amp;REPT("░",MAX(0,20-MIN(20,INT(C40/B40*20)))))</f>
        <v/>
      </c>
      <c r="G40" s="9">
        <f>IF(C40="","⬜",IF(C40/B40&lt;0.8,"🟢",IF(C40/B40&lt;=1,"🟡","🔴")))</f>
        <v/>
      </c>
    </row>
    <row r="41" ht="18" customHeight="1">
      <c r="A41" s="4" t="inlineStr">
        <is>
          <t>Assurance-vie</t>
        </is>
      </c>
      <c r="B41" s="5" t="n"/>
      <c r="C41" s="5" t="n"/>
      <c r="D41" s="6">
        <f>B41-C41</f>
        <v/>
      </c>
      <c r="E41" s="7">
        <f>IF(B41=0,"—",C41/B41)</f>
        <v/>
      </c>
      <c r="F41" s="8">
        <f>IF(B41=0,"",REPT("▓",MIN(20,INT(C41/B41*20)))&amp;REPT("░",MAX(0,20-MIN(20,INT(C41/B41*20)))))</f>
        <v/>
      </c>
      <c r="G41" s="9">
        <f>IF(C41="","⬜",IF(C41/B41&lt;0.8,"🟢",IF(C41/B41&lt;=1,"🟡","🔴")))</f>
        <v/>
      </c>
    </row>
    <row r="42" ht="18" customHeight="1">
      <c r="A42" s="4" t="inlineStr">
        <is>
          <t>Investissements</t>
        </is>
      </c>
      <c r="B42" s="5" t="n"/>
      <c r="C42" s="5" t="n"/>
      <c r="D42" s="6">
        <f>B42-C42</f>
        <v/>
      </c>
      <c r="E42" s="7">
        <f>IF(B42=0,"—",C42/B42)</f>
        <v/>
      </c>
      <c r="F42" s="8">
        <f>IF(B42=0,"",REPT("▓",MIN(20,INT(C42/B42*20)))&amp;REPT("░",MAX(0,20-MIN(20,INT(C42/B42*20)))))</f>
        <v/>
      </c>
      <c r="G42" s="9">
        <f>IF(C42="","⬜",IF(C42/B42&lt;0.8,"🟢",IF(C42/B42&lt;=1,"🟡","🔴")))</f>
        <v/>
      </c>
    </row>
    <row r="43" ht="20" customHeight="1">
      <c r="A43" s="10" t="inlineStr">
        <is>
          <t>TOTAL</t>
        </is>
      </c>
      <c r="B43" s="11">
        <f>SUM(B39:B42)</f>
        <v/>
      </c>
      <c r="C43" s="11">
        <f>SUM(C39:C42)</f>
        <v/>
      </c>
      <c r="D43" s="11">
        <f>B43-C43</f>
        <v/>
      </c>
      <c r="E43" s="12">
        <f>IF(B43=0,"—",C43/B43)</f>
        <v/>
      </c>
      <c r="F43" s="13" t="n"/>
      <c r="G43" s="13" t="n"/>
    </row>
    <row r="44" ht="8" customHeight="1">
      <c r="A44" s="14" t="n"/>
      <c r="B44" s="14" t="n"/>
      <c r="C44" s="14" t="n"/>
      <c r="D44" s="14" t="n"/>
      <c r="E44" s="14" t="n"/>
      <c r="F44" s="14" t="n"/>
      <c r="G44" s="14" t="n"/>
    </row>
    <row r="46" ht="22" customHeight="1">
      <c r="A46" s="15" t="inlineStr">
        <is>
          <t>Total Revenus</t>
        </is>
      </c>
      <c r="B46" s="13" t="n"/>
      <c r="C46" s="16">
        <f>C8</f>
        <v/>
      </c>
      <c r="D46" s="13" t="n"/>
      <c r="E46" s="13" t="n"/>
      <c r="F46" s="13" t="n"/>
      <c r="G46" s="13" t="n"/>
    </row>
    <row r="47" ht="22" customHeight="1">
      <c r="A47" s="15" t="inlineStr">
        <is>
          <t>Total Dépenses</t>
        </is>
      </c>
      <c r="B47" s="13" t="n"/>
      <c r="C47" s="16">
        <f>C16+C28+C35</f>
        <v/>
      </c>
      <c r="D47" s="13" t="n"/>
      <c r="E47" s="13" t="n"/>
      <c r="F47" s="13" t="n"/>
      <c r="G47" s="13" t="n"/>
    </row>
    <row r="48" ht="22" customHeight="1">
      <c r="A48" s="17" t="inlineStr">
        <is>
          <t>Solde du mois</t>
        </is>
      </c>
      <c r="B48" s="18" t="n"/>
      <c r="C48" s="19">
        <f>C46-C47</f>
        <v/>
      </c>
      <c r="D48" s="18" t="n"/>
      <c r="E48" s="18" t="n"/>
      <c r="F48" s="18" t="n"/>
      <c r="G48" s="18" t="n"/>
    </row>
    <row r="49" ht="22" customHeight="1">
      <c r="A49" s="17" t="inlineStr">
        <is>
          <t>Taux d'épargne</t>
        </is>
      </c>
      <c r="B49" s="18" t="n"/>
      <c r="C49" s="20">
        <f>IF(C46=0,"—",C48/C46)</f>
        <v/>
      </c>
      <c r="D49" s="18" t="n"/>
      <c r="E49" s="18" t="n"/>
      <c r="F49" s="18" t="n"/>
      <c r="G49" s="18" t="n"/>
    </row>
    <row r="50" ht="22" customHeight="1">
      <c r="A50" s="15" t="inlineStr">
        <is>
          <t>Objectif Épargne</t>
        </is>
      </c>
      <c r="B50" s="13" t="n"/>
      <c r="C50" s="21" t="n"/>
      <c r="D50" s="13" t="n"/>
      <c r="E50" s="13" t="n"/>
      <c r="F50" s="13" t="n"/>
      <c r="G50" s="13" t="n"/>
    </row>
  </sheetData>
  <mergeCells count="6">
    <mergeCell ref="A1:G1"/>
    <mergeCell ref="A18:G18"/>
    <mergeCell ref="A30:G30"/>
    <mergeCell ref="A2:G2"/>
    <mergeCell ref="A10:G10"/>
    <mergeCell ref="A37:G3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3460"/>
    <outlinePr summaryBelow="1" summaryRight="1"/>
    <pageSetUpPr/>
  </sheetPr>
  <dimension ref="A1:G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0" customWidth="1" min="5" max="5"/>
    <col width="22" customWidth="1" min="6" max="6"/>
    <col width="6" customWidth="1" min="7" max="7"/>
  </cols>
  <sheetData>
    <row r="1" ht="36" customHeight="1">
      <c r="A1" s="1" t="inlineStr">
        <is>
          <t>📅 NOVEMBRE</t>
        </is>
      </c>
    </row>
    <row r="2" ht="22" customHeight="1">
      <c r="A2" s="2" t="inlineStr">
        <is>
          <t>💰 REVENUS</t>
        </is>
      </c>
    </row>
    <row r="3" ht="18" customHeight="1">
      <c r="A3" s="3" t="inlineStr">
        <is>
          <t>Catégorie</t>
        </is>
      </c>
      <c r="B3" s="3" t="inlineStr">
        <is>
          <t>Budget Prévu</t>
        </is>
      </c>
      <c r="C3" s="3" t="inlineStr">
        <is>
          <t>Réel</t>
        </is>
      </c>
      <c r="D3" s="3" t="inlineStr">
        <is>
          <t>Écart</t>
        </is>
      </c>
      <c r="E3" s="3" t="inlineStr">
        <is>
          <t>%</t>
        </is>
      </c>
      <c r="F3" s="3" t="inlineStr">
        <is>
          <t>Progression</t>
        </is>
      </c>
      <c r="G3" s="3" t="inlineStr">
        <is>
          <t>✓</t>
        </is>
      </c>
    </row>
    <row r="4" ht="18" customHeight="1">
      <c r="A4" s="4" t="inlineStr">
        <is>
          <t>Salaire</t>
        </is>
      </c>
      <c r="B4" s="5" t="n"/>
      <c r="C4" s="5" t="n"/>
      <c r="D4" s="6">
        <f>B4-C4</f>
        <v/>
      </c>
      <c r="E4" s="7">
        <f>IF(B4=0,"—",C4/B4)</f>
        <v/>
      </c>
      <c r="F4" s="8">
        <f>IF(B4=0,"",REPT("▓",MIN(20,INT(C4/B4*20)))&amp;REPT("░",MAX(0,20-MIN(20,INT(C4/B4*20)))))</f>
        <v/>
      </c>
      <c r="G4" s="9">
        <f>IF(C4="","⬜",IF(C4/B4&lt;0.8,"🟢",IF(C4/B4&lt;=1,"🟡","🔴")))</f>
        <v/>
      </c>
    </row>
    <row r="5" ht="18" customHeight="1">
      <c r="A5" s="4" t="inlineStr">
        <is>
          <t>Freelance</t>
        </is>
      </c>
      <c r="B5" s="5" t="n"/>
      <c r="C5" s="5" t="n"/>
      <c r="D5" s="6">
        <f>B5-C5</f>
        <v/>
      </c>
      <c r="E5" s="7">
        <f>IF(B5=0,"—",C5/B5)</f>
        <v/>
      </c>
      <c r="F5" s="8">
        <f>IF(B5=0,"",REPT("▓",MIN(20,INT(C5/B5*20)))&amp;REPT("░",MAX(0,20-MIN(20,INT(C5/B5*20)))))</f>
        <v/>
      </c>
      <c r="G5" s="9">
        <f>IF(C5="","⬜",IF(C5/B5&lt;0.8,"🟢",IF(C5/B5&lt;=1,"🟡","🔴")))</f>
        <v/>
      </c>
    </row>
    <row r="6" ht="18" customHeight="1">
      <c r="A6" s="4" t="inlineStr">
        <is>
          <t>Aides/APL</t>
        </is>
      </c>
      <c r="B6" s="5" t="n"/>
      <c r="C6" s="5" t="n"/>
      <c r="D6" s="6">
        <f>B6-C6</f>
        <v/>
      </c>
      <c r="E6" s="7">
        <f>IF(B6=0,"—",C6/B6)</f>
        <v/>
      </c>
      <c r="F6" s="8">
        <f>IF(B6=0,"",REPT("▓",MIN(20,INT(C6/B6*20)))&amp;REPT("░",MAX(0,20-MIN(20,INT(C6/B6*20)))))</f>
        <v/>
      </c>
      <c r="G6" s="9">
        <f>IF(C6="","⬜",IF(C6/B6&lt;0.8,"🟢",IF(C6/B6&lt;=1,"🟡","🔴")))</f>
        <v/>
      </c>
    </row>
    <row r="7" ht="18" customHeight="1">
      <c r="A7" s="4" t="inlineStr">
        <is>
          <t>Autres revenus</t>
        </is>
      </c>
      <c r="B7" s="5" t="n"/>
      <c r="C7" s="5" t="n"/>
      <c r="D7" s="6">
        <f>B7-C7</f>
        <v/>
      </c>
      <c r="E7" s="7">
        <f>IF(B7=0,"—",C7/B7)</f>
        <v/>
      </c>
      <c r="F7" s="8">
        <f>IF(B7=0,"",REPT("▓",MIN(20,INT(C7/B7*20)))&amp;REPT("░",MAX(0,20-MIN(20,INT(C7/B7*20)))))</f>
        <v/>
      </c>
      <c r="G7" s="9">
        <f>IF(C7="","⬜",IF(C7/B7&lt;0.8,"🟢",IF(C7/B7&lt;=1,"🟡","🔴")))</f>
        <v/>
      </c>
    </row>
    <row r="8" ht="20" customHeight="1">
      <c r="A8" s="10" t="inlineStr">
        <is>
          <t>TOTAL</t>
        </is>
      </c>
      <c r="B8" s="11">
        <f>SUM(B4:B7)</f>
        <v/>
      </c>
      <c r="C8" s="11">
        <f>SUM(C4:C7)</f>
        <v/>
      </c>
      <c r="D8" s="11">
        <f>B8-C8</f>
        <v/>
      </c>
      <c r="E8" s="12">
        <f>IF(B8=0,"—",C8/B8)</f>
        <v/>
      </c>
      <c r="F8" s="13" t="n"/>
      <c r="G8" s="13" t="n"/>
    </row>
    <row r="9" ht="8" customHeight="1">
      <c r="A9" s="14" t="n"/>
      <c r="B9" s="14" t="n"/>
      <c r="C9" s="14" t="n"/>
      <c r="D9" s="14" t="n"/>
      <c r="E9" s="14" t="n"/>
      <c r="F9" s="14" t="n"/>
      <c r="G9" s="14" t="n"/>
    </row>
    <row r="10" ht="22" customHeight="1">
      <c r="A10" s="2" t="inlineStr">
        <is>
          <t>🏠 DÉPENSES FIXES</t>
        </is>
      </c>
    </row>
    <row r="11" ht="18" customHeight="1">
      <c r="A11" s="3" t="inlineStr">
        <is>
          <t>Catégorie</t>
        </is>
      </c>
      <c r="B11" s="3" t="inlineStr">
        <is>
          <t>Budget Prévu</t>
        </is>
      </c>
      <c r="C11" s="3" t="inlineStr">
        <is>
          <t>Réel</t>
        </is>
      </c>
      <c r="D11" s="3" t="inlineStr">
        <is>
          <t>Écart</t>
        </is>
      </c>
      <c r="E11" s="3" t="inlineStr">
        <is>
          <t>%</t>
        </is>
      </c>
      <c r="F11" s="3" t="inlineStr">
        <is>
          <t>Progression</t>
        </is>
      </c>
      <c r="G11" s="3" t="inlineStr">
        <is>
          <t>✓</t>
        </is>
      </c>
    </row>
    <row r="12" ht="18" customHeight="1">
      <c r="A12" s="4" t="inlineStr">
        <is>
          <t>Loyer/Crédit</t>
        </is>
      </c>
      <c r="B12" s="5" t="n"/>
      <c r="C12" s="5" t="n"/>
      <c r="D12" s="6">
        <f>B12-C12</f>
        <v/>
      </c>
      <c r="E12" s="7">
        <f>IF(B12=0,"—",C12/B12)</f>
        <v/>
      </c>
      <c r="F12" s="8">
        <f>IF(B12=0,"",REPT("▓",MIN(20,INT(C12/B12*20)))&amp;REPT("░",MAX(0,20-MIN(20,INT(C12/B12*20)))))</f>
        <v/>
      </c>
      <c r="G12" s="9">
        <f>IF(C12="","⬜",IF(C12/B12&lt;0.8,"🟢",IF(C12/B12&lt;=1,"🟡","🔴")))</f>
        <v/>
      </c>
    </row>
    <row r="13" ht="18" customHeight="1">
      <c r="A13" s="4" t="inlineStr">
        <is>
          <t>Assurances</t>
        </is>
      </c>
      <c r="B13" s="5" t="n"/>
      <c r="C13" s="5" t="n"/>
      <c r="D13" s="6">
        <f>B13-C13</f>
        <v/>
      </c>
      <c r="E13" s="7">
        <f>IF(B13=0,"—",C13/B13)</f>
        <v/>
      </c>
      <c r="F13" s="8">
        <f>IF(B13=0,"",REPT("▓",MIN(20,INT(C13/B13*20)))&amp;REPT("░",MAX(0,20-MIN(20,INT(C13/B13*20)))))</f>
        <v/>
      </c>
      <c r="G13" s="9">
        <f>IF(C13="","⬜",IF(C13/B13&lt;0.8,"🟢",IF(C13/B13&lt;=1,"🟡","🔴")))</f>
        <v/>
      </c>
    </row>
    <row r="14" ht="18" customHeight="1">
      <c r="A14" s="4" t="inlineStr">
        <is>
          <t>Abonnements</t>
        </is>
      </c>
      <c r="B14" s="5" t="n"/>
      <c r="C14" s="5" t="n"/>
      <c r="D14" s="6">
        <f>B14-C14</f>
        <v/>
      </c>
      <c r="E14" s="7">
        <f>IF(B14=0,"—",C14/B14)</f>
        <v/>
      </c>
      <c r="F14" s="8">
        <f>IF(B14=0,"",REPT("▓",MIN(20,INT(C14/B14*20)))&amp;REPT("░",MAX(0,20-MIN(20,INT(C14/B14*20)))))</f>
        <v/>
      </c>
      <c r="G14" s="9">
        <f>IF(C14="","⬜",IF(C14/B14&lt;0.8,"🟢",IF(C14/B14&lt;=1,"🟡","🔴")))</f>
        <v/>
      </c>
    </row>
    <row r="15" ht="18" customHeight="1">
      <c r="A15" s="4" t="inlineStr">
        <is>
          <t>Téléphone/Internet</t>
        </is>
      </c>
      <c r="B15" s="5" t="n"/>
      <c r="C15" s="5" t="n"/>
      <c r="D15" s="6">
        <f>B15-C15</f>
        <v/>
      </c>
      <c r="E15" s="7">
        <f>IF(B15=0,"—",C15/B15)</f>
        <v/>
      </c>
      <c r="F15" s="8">
        <f>IF(B15=0,"",REPT("▓",MIN(20,INT(C15/B15*20)))&amp;REPT("░",MAX(0,20-MIN(20,INT(C15/B15*20)))))</f>
        <v/>
      </c>
      <c r="G15" s="9">
        <f>IF(C15="","⬜",IF(C15/B15&lt;0.8,"🟢",IF(C15/B15&lt;=1,"🟡","🔴")))</f>
        <v/>
      </c>
    </row>
    <row r="16" ht="20" customHeight="1">
      <c r="A16" s="10" t="inlineStr">
        <is>
          <t>TOTAL</t>
        </is>
      </c>
      <c r="B16" s="11">
        <f>SUM(B12:B15)</f>
        <v/>
      </c>
      <c r="C16" s="11">
        <f>SUM(C12:C15)</f>
        <v/>
      </c>
      <c r="D16" s="11">
        <f>B16-C16</f>
        <v/>
      </c>
      <c r="E16" s="12">
        <f>IF(B16=0,"—",C16/B16)</f>
        <v/>
      </c>
      <c r="F16" s="13" t="n"/>
      <c r="G16" s="13" t="n"/>
    </row>
    <row r="17" ht="8" customHeight="1">
      <c r="A17" s="14" t="n"/>
      <c r="B17" s="14" t="n"/>
      <c r="C17" s="14" t="n"/>
      <c r="D17" s="14" t="n"/>
      <c r="E17" s="14" t="n"/>
      <c r="F17" s="14" t="n"/>
      <c r="G17" s="14" t="n"/>
    </row>
    <row r="18" ht="22" customHeight="1">
      <c r="A18" s="2" t="inlineStr">
        <is>
          <t>🛒 DÉPENSES VARIABLES</t>
        </is>
      </c>
    </row>
    <row r="19" ht="18" customHeight="1">
      <c r="A19" s="3" t="inlineStr">
        <is>
          <t>Catégorie</t>
        </is>
      </c>
      <c r="B19" s="3" t="inlineStr">
        <is>
          <t>Budget Prévu</t>
        </is>
      </c>
      <c r="C19" s="3" t="inlineStr">
        <is>
          <t>Réel</t>
        </is>
      </c>
      <c r="D19" s="3" t="inlineStr">
        <is>
          <t>Écart</t>
        </is>
      </c>
      <c r="E19" s="3" t="inlineStr">
        <is>
          <t>%</t>
        </is>
      </c>
      <c r="F19" s="3" t="inlineStr">
        <is>
          <t>Progression</t>
        </is>
      </c>
      <c r="G19" s="3" t="inlineStr">
        <is>
          <t>✓</t>
        </is>
      </c>
    </row>
    <row r="20" ht="18" customHeight="1">
      <c r="A20" s="4" t="inlineStr">
        <is>
          <t>Alimentation</t>
        </is>
      </c>
      <c r="B20" s="5" t="n"/>
      <c r="C20" s="5" t="n"/>
      <c r="D20" s="6">
        <f>B20-C20</f>
        <v/>
      </c>
      <c r="E20" s="7">
        <f>IF(B20=0,"—",C20/B20)</f>
        <v/>
      </c>
      <c r="F20" s="8">
        <f>IF(B20=0,"",REPT("▓",MIN(20,INT(C20/B20*20)))&amp;REPT("░",MAX(0,20-MIN(20,INT(C20/B20*20)))))</f>
        <v/>
      </c>
      <c r="G20" s="9">
        <f>IF(C20="","⬜",IF(C20/B20&lt;0.8,"🟢",IF(C20/B20&lt;=1,"🟡","🔴")))</f>
        <v/>
      </c>
    </row>
    <row r="21" ht="18" customHeight="1">
      <c r="A21" s="4" t="inlineStr">
        <is>
          <t>Transport</t>
        </is>
      </c>
      <c r="B21" s="5" t="n"/>
      <c r="C21" s="5" t="n"/>
      <c r="D21" s="6">
        <f>B21-C21</f>
        <v/>
      </c>
      <c r="E21" s="7">
        <f>IF(B21=0,"—",C21/B21)</f>
        <v/>
      </c>
      <c r="F21" s="8">
        <f>IF(B21=0,"",REPT("▓",MIN(20,INT(C21/B21*20)))&amp;REPT("░",MAX(0,20-MIN(20,INT(C21/B21*20)))))</f>
        <v/>
      </c>
      <c r="G21" s="9">
        <f>IF(C21="","⬜",IF(C21/B21&lt;0.8,"🟢",IF(C21/B21&lt;=1,"🟡","🔴")))</f>
        <v/>
      </c>
    </row>
    <row r="22" ht="18" customHeight="1">
      <c r="A22" s="4" t="inlineStr">
        <is>
          <t>Santé</t>
        </is>
      </c>
      <c r="B22" s="5" t="n"/>
      <c r="C22" s="5" t="n"/>
      <c r="D22" s="6">
        <f>B22-C22</f>
        <v/>
      </c>
      <c r="E22" s="7">
        <f>IF(B22=0,"—",C22/B22)</f>
        <v/>
      </c>
      <c r="F22" s="8">
        <f>IF(B22=0,"",REPT("▓",MIN(20,INT(C22/B22*20)))&amp;REPT("░",MAX(0,20-MIN(20,INT(C22/B22*20)))))</f>
        <v/>
      </c>
      <c r="G22" s="9">
        <f>IF(C22="","⬜",IF(C22/B22&lt;0.8,"🟢",IF(C22/B22&lt;=1,"🟡","🔴")))</f>
        <v/>
      </c>
    </row>
    <row r="23" ht="18" customHeight="1">
      <c r="A23" s="4" t="inlineStr">
        <is>
          <t>Loisirs</t>
        </is>
      </c>
      <c r="B23" s="5" t="n"/>
      <c r="C23" s="5" t="n"/>
      <c r="D23" s="6">
        <f>B23-C23</f>
        <v/>
      </c>
      <c r="E23" s="7">
        <f>IF(B23=0,"—",C23/B23)</f>
        <v/>
      </c>
      <c r="F23" s="8">
        <f>IF(B23=0,"",REPT("▓",MIN(20,INT(C23/B23*20)))&amp;REPT("░",MAX(0,20-MIN(20,INT(C23/B23*20)))))</f>
        <v/>
      </c>
      <c r="G23" s="9">
        <f>IF(C23="","⬜",IF(C23/B23&lt;0.8,"🟢",IF(C23/B23&lt;=1,"🟡","🔴")))</f>
        <v/>
      </c>
    </row>
    <row r="24" ht="18" customHeight="1">
      <c r="A24" s="4" t="inlineStr">
        <is>
          <t>Shopping</t>
        </is>
      </c>
      <c r="B24" s="5" t="n"/>
      <c r="C24" s="5" t="n"/>
      <c r="D24" s="6">
        <f>B24-C24</f>
        <v/>
      </c>
      <c r="E24" s="7">
        <f>IF(B24=0,"—",C24/B24)</f>
        <v/>
      </c>
      <c r="F24" s="8">
        <f>IF(B24=0,"",REPT("▓",MIN(20,INT(C24/B24*20)))&amp;REPT("░",MAX(0,20-MIN(20,INT(C24/B24*20)))))</f>
        <v/>
      </c>
      <c r="G24" s="9">
        <f>IF(C24="","⬜",IF(C24/B24&lt;0.8,"🟢",IF(C24/B24&lt;=1,"🟡","🔴")))</f>
        <v/>
      </c>
    </row>
    <row r="25" ht="18" customHeight="1">
      <c r="A25" s="4" t="inlineStr">
        <is>
          <t>Restaurant</t>
        </is>
      </c>
      <c r="B25" s="5" t="n"/>
      <c r="C25" s="5" t="n"/>
      <c r="D25" s="6">
        <f>B25-C25</f>
        <v/>
      </c>
      <c r="E25" s="7">
        <f>IF(B25=0,"—",C25/B25)</f>
        <v/>
      </c>
      <c r="F25" s="8">
        <f>IF(B25=0,"",REPT("▓",MIN(20,INT(C25/B25*20)))&amp;REPT("░",MAX(0,20-MIN(20,INT(C25/B25*20)))))</f>
        <v/>
      </c>
      <c r="G25" s="9">
        <f>IF(C25="","⬜",IF(C25/B25&lt;0.8,"🟢",IF(C25/B25&lt;=1,"🟡","🔴")))</f>
        <v/>
      </c>
    </row>
    <row r="26" ht="18" customHeight="1">
      <c r="A26" s="4" t="inlineStr">
        <is>
          <t>Beauté</t>
        </is>
      </c>
      <c r="B26" s="5" t="n"/>
      <c r="C26" s="5" t="n"/>
      <c r="D26" s="6">
        <f>B26-C26</f>
        <v/>
      </c>
      <c r="E26" s="7">
        <f>IF(B26=0,"—",C26/B26)</f>
        <v/>
      </c>
      <c r="F26" s="8">
        <f>IF(B26=0,"",REPT("▓",MIN(20,INT(C26/B26*20)))&amp;REPT("░",MAX(0,20-MIN(20,INT(C26/B26*20)))))</f>
        <v/>
      </c>
      <c r="G26" s="9">
        <f>IF(C26="","⬜",IF(C26/B26&lt;0.8,"🟢",IF(C26/B26&lt;=1,"🟡","🔴")))</f>
        <v/>
      </c>
    </row>
    <row r="27" ht="18" customHeight="1">
      <c r="A27" s="4" t="inlineStr">
        <is>
          <t>Autre</t>
        </is>
      </c>
      <c r="B27" s="5" t="n"/>
      <c r="C27" s="5" t="n"/>
      <c r="D27" s="6">
        <f>B27-C27</f>
        <v/>
      </c>
      <c r="E27" s="7">
        <f>IF(B27=0,"—",C27/B27)</f>
        <v/>
      </c>
      <c r="F27" s="8">
        <f>IF(B27=0,"",REPT("▓",MIN(20,INT(C27/B27*20)))&amp;REPT("░",MAX(0,20-MIN(20,INT(C27/B27*20)))))</f>
        <v/>
      </c>
      <c r="G27" s="9">
        <f>IF(C27="","⬜",IF(C27/B27&lt;0.8,"🟢",IF(C27/B27&lt;=1,"🟡","🔴")))</f>
        <v/>
      </c>
    </row>
    <row r="28" ht="20" customHeight="1">
      <c r="A28" s="10" t="inlineStr">
        <is>
          <t>TOTAL</t>
        </is>
      </c>
      <c r="B28" s="11">
        <f>SUM(B20:B27)</f>
        <v/>
      </c>
      <c r="C28" s="11">
        <f>SUM(C20:C27)</f>
        <v/>
      </c>
      <c r="D28" s="11">
        <f>B28-C28</f>
        <v/>
      </c>
      <c r="E28" s="12">
        <f>IF(B28=0,"—",C28/B28)</f>
        <v/>
      </c>
      <c r="F28" s="13" t="n"/>
      <c r="G28" s="13" t="n"/>
    </row>
    <row r="29" ht="8" customHeight="1">
      <c r="A29" s="14" t="n"/>
      <c r="B29" s="14" t="n"/>
      <c r="C29" s="14" t="n"/>
      <c r="D29" s="14" t="n"/>
      <c r="E29" s="14" t="n"/>
      <c r="F29" s="14" t="n"/>
      <c r="G29" s="14" t="n"/>
    </row>
    <row r="30" ht="22" customHeight="1">
      <c r="A30" s="2" t="inlineStr">
        <is>
          <t>💳 CRÉDITS</t>
        </is>
      </c>
    </row>
    <row r="31" ht="18" customHeight="1">
      <c r="A31" s="3" t="inlineStr">
        <is>
          <t>Catégorie</t>
        </is>
      </c>
      <c r="B31" s="3" t="inlineStr">
        <is>
          <t>Budget Prévu</t>
        </is>
      </c>
      <c r="C31" s="3" t="inlineStr">
        <is>
          <t>Réel</t>
        </is>
      </c>
      <c r="D31" s="3" t="inlineStr">
        <is>
          <t>Écart</t>
        </is>
      </c>
      <c r="E31" s="3" t="inlineStr">
        <is>
          <t>%</t>
        </is>
      </c>
      <c r="F31" s="3" t="inlineStr">
        <is>
          <t>Progression</t>
        </is>
      </c>
      <c r="G31" s="3" t="inlineStr">
        <is>
          <t>✓</t>
        </is>
      </c>
    </row>
    <row r="32" ht="18" customHeight="1">
      <c r="A32" s="4" t="inlineStr">
        <is>
          <t>Crédit auto</t>
        </is>
      </c>
      <c r="B32" s="5" t="n"/>
      <c r="C32" s="5" t="n"/>
      <c r="D32" s="6">
        <f>B32-C32</f>
        <v/>
      </c>
      <c r="E32" s="7">
        <f>IF(B32=0,"—",C32/B32)</f>
        <v/>
      </c>
      <c r="F32" s="8">
        <f>IF(B32=0,"",REPT("▓",MIN(20,INT(C32/B32*20)))&amp;REPT("░",MAX(0,20-MIN(20,INT(C32/B32*20)))))</f>
        <v/>
      </c>
      <c r="G32" s="9">
        <f>IF(C32="","⬜",IF(C32/B32&lt;0.8,"🟢",IF(C32/B32&lt;=1,"🟡","🔴")))</f>
        <v/>
      </c>
    </row>
    <row r="33" ht="18" customHeight="1">
      <c r="A33" s="4" t="inlineStr">
        <is>
          <t>Crédit conso</t>
        </is>
      </c>
      <c r="B33" s="5" t="n"/>
      <c r="C33" s="5" t="n"/>
      <c r="D33" s="6">
        <f>B33-C33</f>
        <v/>
      </c>
      <c r="E33" s="7">
        <f>IF(B33=0,"—",C33/B33)</f>
        <v/>
      </c>
      <c r="F33" s="8">
        <f>IF(B33=0,"",REPT("▓",MIN(20,INT(C33/B33*20)))&amp;REPT("░",MAX(0,20-MIN(20,INT(C33/B33*20)))))</f>
        <v/>
      </c>
      <c r="G33" s="9">
        <f>IF(C33="","⬜",IF(C33/B33&lt;0.8,"🟢",IF(C33/B33&lt;=1,"🟡","🔴")))</f>
        <v/>
      </c>
    </row>
    <row r="34" ht="18" customHeight="1">
      <c r="A34" s="4" t="inlineStr">
        <is>
          <t>Autre crédit</t>
        </is>
      </c>
      <c r="B34" s="5" t="n"/>
      <c r="C34" s="5" t="n"/>
      <c r="D34" s="6">
        <f>B34-C34</f>
        <v/>
      </c>
      <c r="E34" s="7">
        <f>IF(B34=0,"—",C34/B34)</f>
        <v/>
      </c>
      <c r="F34" s="8">
        <f>IF(B34=0,"",REPT("▓",MIN(20,INT(C34/B34*20)))&amp;REPT("░",MAX(0,20-MIN(20,INT(C34/B34*20)))))</f>
        <v/>
      </c>
      <c r="G34" s="9">
        <f>IF(C34="","⬜",IF(C34/B34&lt;0.8,"🟢",IF(C34/B34&lt;=1,"🟡","🔴")))</f>
        <v/>
      </c>
    </row>
    <row r="35" ht="20" customHeight="1">
      <c r="A35" s="10" t="inlineStr">
        <is>
          <t>TOTAL</t>
        </is>
      </c>
      <c r="B35" s="11">
        <f>SUM(B32:B34)</f>
        <v/>
      </c>
      <c r="C35" s="11">
        <f>SUM(C32:C34)</f>
        <v/>
      </c>
      <c r="D35" s="11">
        <f>B35-C35</f>
        <v/>
      </c>
      <c r="E35" s="12">
        <f>IF(B35=0,"—",C35/B35)</f>
        <v/>
      </c>
      <c r="F35" s="13" t="n"/>
      <c r="G35" s="13" t="n"/>
    </row>
    <row r="36" ht="8" customHeight="1">
      <c r="A36" s="14" t="n"/>
      <c r="B36" s="14" t="n"/>
      <c r="C36" s="14" t="n"/>
      <c r="D36" s="14" t="n"/>
      <c r="E36" s="14" t="n"/>
      <c r="F36" s="14" t="n"/>
      <c r="G36" s="14" t="n"/>
    </row>
    <row r="37" ht="22" customHeight="1">
      <c r="A37" s="2" t="inlineStr">
        <is>
          <t>🏦 ÉPARGNE</t>
        </is>
      </c>
    </row>
    <row r="38" ht="18" customHeight="1">
      <c r="A38" s="3" t="inlineStr">
        <is>
          <t>Catégorie</t>
        </is>
      </c>
      <c r="B38" s="3" t="inlineStr">
        <is>
          <t>Budget Prévu</t>
        </is>
      </c>
      <c r="C38" s="3" t="inlineStr">
        <is>
          <t>Réel</t>
        </is>
      </c>
      <c r="D38" s="3" t="inlineStr">
        <is>
          <t>Écart</t>
        </is>
      </c>
      <c r="E38" s="3" t="inlineStr">
        <is>
          <t>%</t>
        </is>
      </c>
      <c r="F38" s="3" t="inlineStr">
        <is>
          <t>Progression</t>
        </is>
      </c>
      <c r="G38" s="3" t="inlineStr">
        <is>
          <t>✓</t>
        </is>
      </c>
    </row>
    <row r="39" ht="18" customHeight="1">
      <c r="A39" s="4" t="inlineStr">
        <is>
          <t>Livret A</t>
        </is>
      </c>
      <c r="B39" s="5" t="n"/>
      <c r="C39" s="5" t="n"/>
      <c r="D39" s="6">
        <f>B39-C39</f>
        <v/>
      </c>
      <c r="E39" s="7">
        <f>IF(B39=0,"—",C39/B39)</f>
        <v/>
      </c>
      <c r="F39" s="8">
        <f>IF(B39=0,"",REPT("▓",MIN(20,INT(C39/B39*20)))&amp;REPT("░",MAX(0,20-MIN(20,INT(C39/B39*20)))))</f>
        <v/>
      </c>
      <c r="G39" s="9">
        <f>IF(C39="","⬜",IF(C39/B39&lt;0.8,"🟢",IF(C39/B39&lt;=1,"🟡","🔴")))</f>
        <v/>
      </c>
    </row>
    <row r="40" ht="18" customHeight="1">
      <c r="A40" s="4" t="inlineStr">
        <is>
          <t>PEL</t>
        </is>
      </c>
      <c r="B40" s="5" t="n"/>
      <c r="C40" s="5" t="n"/>
      <c r="D40" s="6">
        <f>B40-C40</f>
        <v/>
      </c>
      <c r="E40" s="7">
        <f>IF(B40=0,"—",C40/B40)</f>
        <v/>
      </c>
      <c r="F40" s="8">
        <f>IF(B40=0,"",REPT("▓",MIN(20,INT(C40/B40*20)))&amp;REPT("░",MAX(0,20-MIN(20,INT(C40/B40*20)))))</f>
        <v/>
      </c>
      <c r="G40" s="9">
        <f>IF(C40="","⬜",IF(C40/B40&lt;0.8,"🟢",IF(C40/B40&lt;=1,"🟡","🔴")))</f>
        <v/>
      </c>
    </row>
    <row r="41" ht="18" customHeight="1">
      <c r="A41" s="4" t="inlineStr">
        <is>
          <t>Assurance-vie</t>
        </is>
      </c>
      <c r="B41" s="5" t="n"/>
      <c r="C41" s="5" t="n"/>
      <c r="D41" s="6">
        <f>B41-C41</f>
        <v/>
      </c>
      <c r="E41" s="7">
        <f>IF(B41=0,"—",C41/B41)</f>
        <v/>
      </c>
      <c r="F41" s="8">
        <f>IF(B41=0,"",REPT("▓",MIN(20,INT(C41/B41*20)))&amp;REPT("░",MAX(0,20-MIN(20,INT(C41/B41*20)))))</f>
        <v/>
      </c>
      <c r="G41" s="9">
        <f>IF(C41="","⬜",IF(C41/B41&lt;0.8,"🟢",IF(C41/B41&lt;=1,"🟡","🔴")))</f>
        <v/>
      </c>
    </row>
    <row r="42" ht="18" customHeight="1">
      <c r="A42" s="4" t="inlineStr">
        <is>
          <t>Investissements</t>
        </is>
      </c>
      <c r="B42" s="5" t="n"/>
      <c r="C42" s="5" t="n"/>
      <c r="D42" s="6">
        <f>B42-C42</f>
        <v/>
      </c>
      <c r="E42" s="7">
        <f>IF(B42=0,"—",C42/B42)</f>
        <v/>
      </c>
      <c r="F42" s="8">
        <f>IF(B42=0,"",REPT("▓",MIN(20,INT(C42/B42*20)))&amp;REPT("░",MAX(0,20-MIN(20,INT(C42/B42*20)))))</f>
        <v/>
      </c>
      <c r="G42" s="9">
        <f>IF(C42="","⬜",IF(C42/B42&lt;0.8,"🟢",IF(C42/B42&lt;=1,"🟡","🔴")))</f>
        <v/>
      </c>
    </row>
    <row r="43" ht="20" customHeight="1">
      <c r="A43" s="10" t="inlineStr">
        <is>
          <t>TOTAL</t>
        </is>
      </c>
      <c r="B43" s="11">
        <f>SUM(B39:B42)</f>
        <v/>
      </c>
      <c r="C43" s="11">
        <f>SUM(C39:C42)</f>
        <v/>
      </c>
      <c r="D43" s="11">
        <f>B43-C43</f>
        <v/>
      </c>
      <c r="E43" s="12">
        <f>IF(B43=0,"—",C43/B43)</f>
        <v/>
      </c>
      <c r="F43" s="13" t="n"/>
      <c r="G43" s="13" t="n"/>
    </row>
    <row r="44" ht="8" customHeight="1">
      <c r="A44" s="14" t="n"/>
      <c r="B44" s="14" t="n"/>
      <c r="C44" s="14" t="n"/>
      <c r="D44" s="14" t="n"/>
      <c r="E44" s="14" t="n"/>
      <c r="F44" s="14" t="n"/>
      <c r="G44" s="14" t="n"/>
    </row>
    <row r="46" ht="22" customHeight="1">
      <c r="A46" s="15" t="inlineStr">
        <is>
          <t>Total Revenus</t>
        </is>
      </c>
      <c r="B46" s="13" t="n"/>
      <c r="C46" s="16">
        <f>C8</f>
        <v/>
      </c>
      <c r="D46" s="13" t="n"/>
      <c r="E46" s="13" t="n"/>
      <c r="F46" s="13" t="n"/>
      <c r="G46" s="13" t="n"/>
    </row>
    <row r="47" ht="22" customHeight="1">
      <c r="A47" s="15" t="inlineStr">
        <is>
          <t>Total Dépenses</t>
        </is>
      </c>
      <c r="B47" s="13" t="n"/>
      <c r="C47" s="16">
        <f>C16+C28+C35</f>
        <v/>
      </c>
      <c r="D47" s="13" t="n"/>
      <c r="E47" s="13" t="n"/>
      <c r="F47" s="13" t="n"/>
      <c r="G47" s="13" t="n"/>
    </row>
    <row r="48" ht="22" customHeight="1">
      <c r="A48" s="17" t="inlineStr">
        <is>
          <t>Solde du mois</t>
        </is>
      </c>
      <c r="B48" s="18" t="n"/>
      <c r="C48" s="19">
        <f>C46-C47</f>
        <v/>
      </c>
      <c r="D48" s="18" t="n"/>
      <c r="E48" s="18" t="n"/>
      <c r="F48" s="18" t="n"/>
      <c r="G48" s="18" t="n"/>
    </row>
    <row r="49" ht="22" customHeight="1">
      <c r="A49" s="17" t="inlineStr">
        <is>
          <t>Taux d'épargne</t>
        </is>
      </c>
      <c r="B49" s="18" t="n"/>
      <c r="C49" s="20">
        <f>IF(C46=0,"—",C48/C46)</f>
        <v/>
      </c>
      <c r="D49" s="18" t="n"/>
      <c r="E49" s="18" t="n"/>
      <c r="F49" s="18" t="n"/>
      <c r="G49" s="18" t="n"/>
    </row>
    <row r="50" ht="22" customHeight="1">
      <c r="A50" s="15" t="inlineStr">
        <is>
          <t>Objectif Épargne</t>
        </is>
      </c>
      <c r="B50" s="13" t="n"/>
      <c r="C50" s="21" t="n"/>
      <c r="D50" s="13" t="n"/>
      <c r="E50" s="13" t="n"/>
      <c r="F50" s="13" t="n"/>
      <c r="G50" s="13" t="n"/>
    </row>
  </sheetData>
  <mergeCells count="6">
    <mergeCell ref="A1:G1"/>
    <mergeCell ref="A18:G18"/>
    <mergeCell ref="A30:G30"/>
    <mergeCell ref="A2:G2"/>
    <mergeCell ref="A10:G10"/>
    <mergeCell ref="A37:G3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3460"/>
    <outlinePr summaryBelow="1" summaryRight="1"/>
    <pageSetUpPr/>
  </sheetPr>
  <dimension ref="A1:G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0" customWidth="1" min="5" max="5"/>
    <col width="22" customWidth="1" min="6" max="6"/>
    <col width="6" customWidth="1" min="7" max="7"/>
  </cols>
  <sheetData>
    <row r="1" ht="36" customHeight="1">
      <c r="A1" s="1" t="inlineStr">
        <is>
          <t>📅 DÉCEMBRE</t>
        </is>
      </c>
    </row>
    <row r="2" ht="22" customHeight="1">
      <c r="A2" s="2" t="inlineStr">
        <is>
          <t>💰 REVENUS</t>
        </is>
      </c>
    </row>
    <row r="3" ht="18" customHeight="1">
      <c r="A3" s="3" t="inlineStr">
        <is>
          <t>Catégorie</t>
        </is>
      </c>
      <c r="B3" s="3" t="inlineStr">
        <is>
          <t>Budget Prévu</t>
        </is>
      </c>
      <c r="C3" s="3" t="inlineStr">
        <is>
          <t>Réel</t>
        </is>
      </c>
      <c r="D3" s="3" t="inlineStr">
        <is>
          <t>Écart</t>
        </is>
      </c>
      <c r="E3" s="3" t="inlineStr">
        <is>
          <t>%</t>
        </is>
      </c>
      <c r="F3" s="3" t="inlineStr">
        <is>
          <t>Progression</t>
        </is>
      </c>
      <c r="G3" s="3" t="inlineStr">
        <is>
          <t>✓</t>
        </is>
      </c>
    </row>
    <row r="4" ht="18" customHeight="1">
      <c r="A4" s="4" t="inlineStr">
        <is>
          <t>Salaire</t>
        </is>
      </c>
      <c r="B4" s="5" t="n"/>
      <c r="C4" s="5" t="n"/>
      <c r="D4" s="6">
        <f>B4-C4</f>
        <v/>
      </c>
      <c r="E4" s="7">
        <f>IF(B4=0,"—",C4/B4)</f>
        <v/>
      </c>
      <c r="F4" s="8">
        <f>IF(B4=0,"",REPT("▓",MIN(20,INT(C4/B4*20)))&amp;REPT("░",MAX(0,20-MIN(20,INT(C4/B4*20)))))</f>
        <v/>
      </c>
      <c r="G4" s="9">
        <f>IF(C4="","⬜",IF(C4/B4&lt;0.8,"🟢",IF(C4/B4&lt;=1,"🟡","🔴")))</f>
        <v/>
      </c>
    </row>
    <row r="5" ht="18" customHeight="1">
      <c r="A5" s="4" t="inlineStr">
        <is>
          <t>Freelance</t>
        </is>
      </c>
      <c r="B5" s="5" t="n"/>
      <c r="C5" s="5" t="n"/>
      <c r="D5" s="6">
        <f>B5-C5</f>
        <v/>
      </c>
      <c r="E5" s="7">
        <f>IF(B5=0,"—",C5/B5)</f>
        <v/>
      </c>
      <c r="F5" s="8">
        <f>IF(B5=0,"",REPT("▓",MIN(20,INT(C5/B5*20)))&amp;REPT("░",MAX(0,20-MIN(20,INT(C5/B5*20)))))</f>
        <v/>
      </c>
      <c r="G5" s="9">
        <f>IF(C5="","⬜",IF(C5/B5&lt;0.8,"🟢",IF(C5/B5&lt;=1,"🟡","🔴")))</f>
        <v/>
      </c>
    </row>
    <row r="6" ht="18" customHeight="1">
      <c r="A6" s="4" t="inlineStr">
        <is>
          <t>Aides/APL</t>
        </is>
      </c>
      <c r="B6" s="5" t="n"/>
      <c r="C6" s="5" t="n"/>
      <c r="D6" s="6">
        <f>B6-C6</f>
        <v/>
      </c>
      <c r="E6" s="7">
        <f>IF(B6=0,"—",C6/B6)</f>
        <v/>
      </c>
      <c r="F6" s="8">
        <f>IF(B6=0,"",REPT("▓",MIN(20,INT(C6/B6*20)))&amp;REPT("░",MAX(0,20-MIN(20,INT(C6/B6*20)))))</f>
        <v/>
      </c>
      <c r="G6" s="9">
        <f>IF(C6="","⬜",IF(C6/B6&lt;0.8,"🟢",IF(C6/B6&lt;=1,"🟡","🔴")))</f>
        <v/>
      </c>
    </row>
    <row r="7" ht="18" customHeight="1">
      <c r="A7" s="4" t="inlineStr">
        <is>
          <t>Autres revenus</t>
        </is>
      </c>
      <c r="B7" s="5" t="n"/>
      <c r="C7" s="5" t="n"/>
      <c r="D7" s="6">
        <f>B7-C7</f>
        <v/>
      </c>
      <c r="E7" s="7">
        <f>IF(B7=0,"—",C7/B7)</f>
        <v/>
      </c>
      <c r="F7" s="8">
        <f>IF(B7=0,"",REPT("▓",MIN(20,INT(C7/B7*20)))&amp;REPT("░",MAX(0,20-MIN(20,INT(C7/B7*20)))))</f>
        <v/>
      </c>
      <c r="G7" s="9">
        <f>IF(C7="","⬜",IF(C7/B7&lt;0.8,"🟢",IF(C7/B7&lt;=1,"🟡","🔴")))</f>
        <v/>
      </c>
    </row>
    <row r="8" ht="20" customHeight="1">
      <c r="A8" s="10" t="inlineStr">
        <is>
          <t>TOTAL</t>
        </is>
      </c>
      <c r="B8" s="11">
        <f>SUM(B4:B7)</f>
        <v/>
      </c>
      <c r="C8" s="11">
        <f>SUM(C4:C7)</f>
        <v/>
      </c>
      <c r="D8" s="11">
        <f>B8-C8</f>
        <v/>
      </c>
      <c r="E8" s="12">
        <f>IF(B8=0,"—",C8/B8)</f>
        <v/>
      </c>
      <c r="F8" s="13" t="n"/>
      <c r="G8" s="13" t="n"/>
    </row>
    <row r="9" ht="8" customHeight="1">
      <c r="A9" s="14" t="n"/>
      <c r="B9" s="14" t="n"/>
      <c r="C9" s="14" t="n"/>
      <c r="D9" s="14" t="n"/>
      <c r="E9" s="14" t="n"/>
      <c r="F9" s="14" t="n"/>
      <c r="G9" s="14" t="n"/>
    </row>
    <row r="10" ht="22" customHeight="1">
      <c r="A10" s="2" t="inlineStr">
        <is>
          <t>🏠 DÉPENSES FIXES</t>
        </is>
      </c>
    </row>
    <row r="11" ht="18" customHeight="1">
      <c r="A11" s="3" t="inlineStr">
        <is>
          <t>Catégorie</t>
        </is>
      </c>
      <c r="B11" s="3" t="inlineStr">
        <is>
          <t>Budget Prévu</t>
        </is>
      </c>
      <c r="C11" s="3" t="inlineStr">
        <is>
          <t>Réel</t>
        </is>
      </c>
      <c r="D11" s="3" t="inlineStr">
        <is>
          <t>Écart</t>
        </is>
      </c>
      <c r="E11" s="3" t="inlineStr">
        <is>
          <t>%</t>
        </is>
      </c>
      <c r="F11" s="3" t="inlineStr">
        <is>
          <t>Progression</t>
        </is>
      </c>
      <c r="G11" s="3" t="inlineStr">
        <is>
          <t>✓</t>
        </is>
      </c>
    </row>
    <row r="12" ht="18" customHeight="1">
      <c r="A12" s="4" t="inlineStr">
        <is>
          <t>Loyer/Crédit</t>
        </is>
      </c>
      <c r="B12" s="5" t="n"/>
      <c r="C12" s="5" t="n"/>
      <c r="D12" s="6">
        <f>B12-C12</f>
        <v/>
      </c>
      <c r="E12" s="7">
        <f>IF(B12=0,"—",C12/B12)</f>
        <v/>
      </c>
      <c r="F12" s="8">
        <f>IF(B12=0,"",REPT("▓",MIN(20,INT(C12/B12*20)))&amp;REPT("░",MAX(0,20-MIN(20,INT(C12/B12*20)))))</f>
        <v/>
      </c>
      <c r="G12" s="9">
        <f>IF(C12="","⬜",IF(C12/B12&lt;0.8,"🟢",IF(C12/B12&lt;=1,"🟡","🔴")))</f>
        <v/>
      </c>
    </row>
    <row r="13" ht="18" customHeight="1">
      <c r="A13" s="4" t="inlineStr">
        <is>
          <t>Assurances</t>
        </is>
      </c>
      <c r="B13" s="5" t="n"/>
      <c r="C13" s="5" t="n"/>
      <c r="D13" s="6">
        <f>B13-C13</f>
        <v/>
      </c>
      <c r="E13" s="7">
        <f>IF(B13=0,"—",C13/B13)</f>
        <v/>
      </c>
      <c r="F13" s="8">
        <f>IF(B13=0,"",REPT("▓",MIN(20,INT(C13/B13*20)))&amp;REPT("░",MAX(0,20-MIN(20,INT(C13/B13*20)))))</f>
        <v/>
      </c>
      <c r="G13" s="9">
        <f>IF(C13="","⬜",IF(C13/B13&lt;0.8,"🟢",IF(C13/B13&lt;=1,"🟡","🔴")))</f>
        <v/>
      </c>
    </row>
    <row r="14" ht="18" customHeight="1">
      <c r="A14" s="4" t="inlineStr">
        <is>
          <t>Abonnements</t>
        </is>
      </c>
      <c r="B14" s="5" t="n"/>
      <c r="C14" s="5" t="n"/>
      <c r="D14" s="6">
        <f>B14-C14</f>
        <v/>
      </c>
      <c r="E14" s="7">
        <f>IF(B14=0,"—",C14/B14)</f>
        <v/>
      </c>
      <c r="F14" s="8">
        <f>IF(B14=0,"",REPT("▓",MIN(20,INT(C14/B14*20)))&amp;REPT("░",MAX(0,20-MIN(20,INT(C14/B14*20)))))</f>
        <v/>
      </c>
      <c r="G14" s="9">
        <f>IF(C14="","⬜",IF(C14/B14&lt;0.8,"🟢",IF(C14/B14&lt;=1,"🟡","🔴")))</f>
        <v/>
      </c>
    </row>
    <row r="15" ht="18" customHeight="1">
      <c r="A15" s="4" t="inlineStr">
        <is>
          <t>Téléphone/Internet</t>
        </is>
      </c>
      <c r="B15" s="5" t="n"/>
      <c r="C15" s="5" t="n"/>
      <c r="D15" s="6">
        <f>B15-C15</f>
        <v/>
      </c>
      <c r="E15" s="7">
        <f>IF(B15=0,"—",C15/B15)</f>
        <v/>
      </c>
      <c r="F15" s="8">
        <f>IF(B15=0,"",REPT("▓",MIN(20,INT(C15/B15*20)))&amp;REPT("░",MAX(0,20-MIN(20,INT(C15/B15*20)))))</f>
        <v/>
      </c>
      <c r="G15" s="9">
        <f>IF(C15="","⬜",IF(C15/B15&lt;0.8,"🟢",IF(C15/B15&lt;=1,"🟡","🔴")))</f>
        <v/>
      </c>
    </row>
    <row r="16" ht="20" customHeight="1">
      <c r="A16" s="10" t="inlineStr">
        <is>
          <t>TOTAL</t>
        </is>
      </c>
      <c r="B16" s="11">
        <f>SUM(B12:B15)</f>
        <v/>
      </c>
      <c r="C16" s="11">
        <f>SUM(C12:C15)</f>
        <v/>
      </c>
      <c r="D16" s="11">
        <f>B16-C16</f>
        <v/>
      </c>
      <c r="E16" s="12">
        <f>IF(B16=0,"—",C16/B16)</f>
        <v/>
      </c>
      <c r="F16" s="13" t="n"/>
      <c r="G16" s="13" t="n"/>
    </row>
    <row r="17" ht="8" customHeight="1">
      <c r="A17" s="14" t="n"/>
      <c r="B17" s="14" t="n"/>
      <c r="C17" s="14" t="n"/>
      <c r="D17" s="14" t="n"/>
      <c r="E17" s="14" t="n"/>
      <c r="F17" s="14" t="n"/>
      <c r="G17" s="14" t="n"/>
    </row>
    <row r="18" ht="22" customHeight="1">
      <c r="A18" s="2" t="inlineStr">
        <is>
          <t>🛒 DÉPENSES VARIABLES</t>
        </is>
      </c>
    </row>
    <row r="19" ht="18" customHeight="1">
      <c r="A19" s="3" t="inlineStr">
        <is>
          <t>Catégorie</t>
        </is>
      </c>
      <c r="B19" s="3" t="inlineStr">
        <is>
          <t>Budget Prévu</t>
        </is>
      </c>
      <c r="C19" s="3" t="inlineStr">
        <is>
          <t>Réel</t>
        </is>
      </c>
      <c r="D19" s="3" t="inlineStr">
        <is>
          <t>Écart</t>
        </is>
      </c>
      <c r="E19" s="3" t="inlineStr">
        <is>
          <t>%</t>
        </is>
      </c>
      <c r="F19" s="3" t="inlineStr">
        <is>
          <t>Progression</t>
        </is>
      </c>
      <c r="G19" s="3" t="inlineStr">
        <is>
          <t>✓</t>
        </is>
      </c>
    </row>
    <row r="20" ht="18" customHeight="1">
      <c r="A20" s="4" t="inlineStr">
        <is>
          <t>Alimentation</t>
        </is>
      </c>
      <c r="B20" s="5" t="n"/>
      <c r="C20" s="5" t="n"/>
      <c r="D20" s="6">
        <f>B20-C20</f>
        <v/>
      </c>
      <c r="E20" s="7">
        <f>IF(B20=0,"—",C20/B20)</f>
        <v/>
      </c>
      <c r="F20" s="8">
        <f>IF(B20=0,"",REPT("▓",MIN(20,INT(C20/B20*20)))&amp;REPT("░",MAX(0,20-MIN(20,INT(C20/B20*20)))))</f>
        <v/>
      </c>
      <c r="G20" s="9">
        <f>IF(C20="","⬜",IF(C20/B20&lt;0.8,"🟢",IF(C20/B20&lt;=1,"🟡","🔴")))</f>
        <v/>
      </c>
    </row>
    <row r="21" ht="18" customHeight="1">
      <c r="A21" s="4" t="inlineStr">
        <is>
          <t>Transport</t>
        </is>
      </c>
      <c r="B21" s="5" t="n"/>
      <c r="C21" s="5" t="n"/>
      <c r="D21" s="6">
        <f>B21-C21</f>
        <v/>
      </c>
      <c r="E21" s="7">
        <f>IF(B21=0,"—",C21/B21)</f>
        <v/>
      </c>
      <c r="F21" s="8">
        <f>IF(B21=0,"",REPT("▓",MIN(20,INT(C21/B21*20)))&amp;REPT("░",MAX(0,20-MIN(20,INT(C21/B21*20)))))</f>
        <v/>
      </c>
      <c r="G21" s="9">
        <f>IF(C21="","⬜",IF(C21/B21&lt;0.8,"🟢",IF(C21/B21&lt;=1,"🟡","🔴")))</f>
        <v/>
      </c>
    </row>
    <row r="22" ht="18" customHeight="1">
      <c r="A22" s="4" t="inlineStr">
        <is>
          <t>Santé</t>
        </is>
      </c>
      <c r="B22" s="5" t="n"/>
      <c r="C22" s="5" t="n"/>
      <c r="D22" s="6">
        <f>B22-C22</f>
        <v/>
      </c>
      <c r="E22" s="7">
        <f>IF(B22=0,"—",C22/B22)</f>
        <v/>
      </c>
      <c r="F22" s="8">
        <f>IF(B22=0,"",REPT("▓",MIN(20,INT(C22/B22*20)))&amp;REPT("░",MAX(0,20-MIN(20,INT(C22/B22*20)))))</f>
        <v/>
      </c>
      <c r="G22" s="9">
        <f>IF(C22="","⬜",IF(C22/B22&lt;0.8,"🟢",IF(C22/B22&lt;=1,"🟡","🔴")))</f>
        <v/>
      </c>
    </row>
    <row r="23" ht="18" customHeight="1">
      <c r="A23" s="4" t="inlineStr">
        <is>
          <t>Loisirs</t>
        </is>
      </c>
      <c r="B23" s="5" t="n"/>
      <c r="C23" s="5" t="n"/>
      <c r="D23" s="6">
        <f>B23-C23</f>
        <v/>
      </c>
      <c r="E23" s="7">
        <f>IF(B23=0,"—",C23/B23)</f>
        <v/>
      </c>
      <c r="F23" s="8">
        <f>IF(B23=0,"",REPT("▓",MIN(20,INT(C23/B23*20)))&amp;REPT("░",MAX(0,20-MIN(20,INT(C23/B23*20)))))</f>
        <v/>
      </c>
      <c r="G23" s="9">
        <f>IF(C23="","⬜",IF(C23/B23&lt;0.8,"🟢",IF(C23/B23&lt;=1,"🟡","🔴")))</f>
        <v/>
      </c>
    </row>
    <row r="24" ht="18" customHeight="1">
      <c r="A24" s="4" t="inlineStr">
        <is>
          <t>Shopping</t>
        </is>
      </c>
      <c r="B24" s="5" t="n"/>
      <c r="C24" s="5" t="n"/>
      <c r="D24" s="6">
        <f>B24-C24</f>
        <v/>
      </c>
      <c r="E24" s="7">
        <f>IF(B24=0,"—",C24/B24)</f>
        <v/>
      </c>
      <c r="F24" s="8">
        <f>IF(B24=0,"",REPT("▓",MIN(20,INT(C24/B24*20)))&amp;REPT("░",MAX(0,20-MIN(20,INT(C24/B24*20)))))</f>
        <v/>
      </c>
      <c r="G24" s="9">
        <f>IF(C24="","⬜",IF(C24/B24&lt;0.8,"🟢",IF(C24/B24&lt;=1,"🟡","🔴")))</f>
        <v/>
      </c>
    </row>
    <row r="25" ht="18" customHeight="1">
      <c r="A25" s="4" t="inlineStr">
        <is>
          <t>Restaurant</t>
        </is>
      </c>
      <c r="B25" s="5" t="n"/>
      <c r="C25" s="5" t="n"/>
      <c r="D25" s="6">
        <f>B25-C25</f>
        <v/>
      </c>
      <c r="E25" s="7">
        <f>IF(B25=0,"—",C25/B25)</f>
        <v/>
      </c>
      <c r="F25" s="8">
        <f>IF(B25=0,"",REPT("▓",MIN(20,INT(C25/B25*20)))&amp;REPT("░",MAX(0,20-MIN(20,INT(C25/B25*20)))))</f>
        <v/>
      </c>
      <c r="G25" s="9">
        <f>IF(C25="","⬜",IF(C25/B25&lt;0.8,"🟢",IF(C25/B25&lt;=1,"🟡","🔴")))</f>
        <v/>
      </c>
    </row>
    <row r="26" ht="18" customHeight="1">
      <c r="A26" s="4" t="inlineStr">
        <is>
          <t>Beauté</t>
        </is>
      </c>
      <c r="B26" s="5" t="n"/>
      <c r="C26" s="5" t="n"/>
      <c r="D26" s="6">
        <f>B26-C26</f>
        <v/>
      </c>
      <c r="E26" s="7">
        <f>IF(B26=0,"—",C26/B26)</f>
        <v/>
      </c>
      <c r="F26" s="8">
        <f>IF(B26=0,"",REPT("▓",MIN(20,INT(C26/B26*20)))&amp;REPT("░",MAX(0,20-MIN(20,INT(C26/B26*20)))))</f>
        <v/>
      </c>
      <c r="G26" s="9">
        <f>IF(C26="","⬜",IF(C26/B26&lt;0.8,"🟢",IF(C26/B26&lt;=1,"🟡","🔴")))</f>
        <v/>
      </c>
    </row>
    <row r="27" ht="18" customHeight="1">
      <c r="A27" s="4" t="inlineStr">
        <is>
          <t>Autre</t>
        </is>
      </c>
      <c r="B27" s="5" t="n"/>
      <c r="C27" s="5" t="n"/>
      <c r="D27" s="6">
        <f>B27-C27</f>
        <v/>
      </c>
      <c r="E27" s="7">
        <f>IF(B27=0,"—",C27/B27)</f>
        <v/>
      </c>
      <c r="F27" s="8">
        <f>IF(B27=0,"",REPT("▓",MIN(20,INT(C27/B27*20)))&amp;REPT("░",MAX(0,20-MIN(20,INT(C27/B27*20)))))</f>
        <v/>
      </c>
      <c r="G27" s="9">
        <f>IF(C27="","⬜",IF(C27/B27&lt;0.8,"🟢",IF(C27/B27&lt;=1,"🟡","🔴")))</f>
        <v/>
      </c>
    </row>
    <row r="28" ht="20" customHeight="1">
      <c r="A28" s="10" t="inlineStr">
        <is>
          <t>TOTAL</t>
        </is>
      </c>
      <c r="B28" s="11">
        <f>SUM(B20:B27)</f>
        <v/>
      </c>
      <c r="C28" s="11">
        <f>SUM(C20:C27)</f>
        <v/>
      </c>
      <c r="D28" s="11">
        <f>B28-C28</f>
        <v/>
      </c>
      <c r="E28" s="12">
        <f>IF(B28=0,"—",C28/B28)</f>
        <v/>
      </c>
      <c r="F28" s="13" t="n"/>
      <c r="G28" s="13" t="n"/>
    </row>
    <row r="29" ht="8" customHeight="1">
      <c r="A29" s="14" t="n"/>
      <c r="B29" s="14" t="n"/>
      <c r="C29" s="14" t="n"/>
      <c r="D29" s="14" t="n"/>
      <c r="E29" s="14" t="n"/>
      <c r="F29" s="14" t="n"/>
      <c r="G29" s="14" t="n"/>
    </row>
    <row r="30" ht="22" customHeight="1">
      <c r="A30" s="2" t="inlineStr">
        <is>
          <t>💳 CRÉDITS</t>
        </is>
      </c>
    </row>
    <row r="31" ht="18" customHeight="1">
      <c r="A31" s="3" t="inlineStr">
        <is>
          <t>Catégorie</t>
        </is>
      </c>
      <c r="B31" s="3" t="inlineStr">
        <is>
          <t>Budget Prévu</t>
        </is>
      </c>
      <c r="C31" s="3" t="inlineStr">
        <is>
          <t>Réel</t>
        </is>
      </c>
      <c r="D31" s="3" t="inlineStr">
        <is>
          <t>Écart</t>
        </is>
      </c>
      <c r="E31" s="3" t="inlineStr">
        <is>
          <t>%</t>
        </is>
      </c>
      <c r="F31" s="3" t="inlineStr">
        <is>
          <t>Progression</t>
        </is>
      </c>
      <c r="G31" s="3" t="inlineStr">
        <is>
          <t>✓</t>
        </is>
      </c>
    </row>
    <row r="32" ht="18" customHeight="1">
      <c r="A32" s="4" t="inlineStr">
        <is>
          <t>Crédit auto</t>
        </is>
      </c>
      <c r="B32" s="5" t="n"/>
      <c r="C32" s="5" t="n"/>
      <c r="D32" s="6">
        <f>B32-C32</f>
        <v/>
      </c>
      <c r="E32" s="7">
        <f>IF(B32=0,"—",C32/B32)</f>
        <v/>
      </c>
      <c r="F32" s="8">
        <f>IF(B32=0,"",REPT("▓",MIN(20,INT(C32/B32*20)))&amp;REPT("░",MAX(0,20-MIN(20,INT(C32/B32*20)))))</f>
        <v/>
      </c>
      <c r="G32" s="9">
        <f>IF(C32="","⬜",IF(C32/B32&lt;0.8,"🟢",IF(C32/B32&lt;=1,"🟡","🔴")))</f>
        <v/>
      </c>
    </row>
    <row r="33" ht="18" customHeight="1">
      <c r="A33" s="4" t="inlineStr">
        <is>
          <t>Crédit conso</t>
        </is>
      </c>
      <c r="B33" s="5" t="n"/>
      <c r="C33" s="5" t="n"/>
      <c r="D33" s="6">
        <f>B33-C33</f>
        <v/>
      </c>
      <c r="E33" s="7">
        <f>IF(B33=0,"—",C33/B33)</f>
        <v/>
      </c>
      <c r="F33" s="8">
        <f>IF(B33=0,"",REPT("▓",MIN(20,INT(C33/B33*20)))&amp;REPT("░",MAX(0,20-MIN(20,INT(C33/B33*20)))))</f>
        <v/>
      </c>
      <c r="G33" s="9">
        <f>IF(C33="","⬜",IF(C33/B33&lt;0.8,"🟢",IF(C33/B33&lt;=1,"🟡","🔴")))</f>
        <v/>
      </c>
    </row>
    <row r="34" ht="18" customHeight="1">
      <c r="A34" s="4" t="inlineStr">
        <is>
          <t>Autre crédit</t>
        </is>
      </c>
      <c r="B34" s="5" t="n"/>
      <c r="C34" s="5" t="n"/>
      <c r="D34" s="6">
        <f>B34-C34</f>
        <v/>
      </c>
      <c r="E34" s="7">
        <f>IF(B34=0,"—",C34/B34)</f>
        <v/>
      </c>
      <c r="F34" s="8">
        <f>IF(B34=0,"",REPT("▓",MIN(20,INT(C34/B34*20)))&amp;REPT("░",MAX(0,20-MIN(20,INT(C34/B34*20)))))</f>
        <v/>
      </c>
      <c r="G34" s="9">
        <f>IF(C34="","⬜",IF(C34/B34&lt;0.8,"🟢",IF(C34/B34&lt;=1,"🟡","🔴")))</f>
        <v/>
      </c>
    </row>
    <row r="35" ht="20" customHeight="1">
      <c r="A35" s="10" t="inlineStr">
        <is>
          <t>TOTAL</t>
        </is>
      </c>
      <c r="B35" s="11">
        <f>SUM(B32:B34)</f>
        <v/>
      </c>
      <c r="C35" s="11">
        <f>SUM(C32:C34)</f>
        <v/>
      </c>
      <c r="D35" s="11">
        <f>B35-C35</f>
        <v/>
      </c>
      <c r="E35" s="12">
        <f>IF(B35=0,"—",C35/B35)</f>
        <v/>
      </c>
      <c r="F35" s="13" t="n"/>
      <c r="G35" s="13" t="n"/>
    </row>
    <row r="36" ht="8" customHeight="1">
      <c r="A36" s="14" t="n"/>
      <c r="B36" s="14" t="n"/>
      <c r="C36" s="14" t="n"/>
      <c r="D36" s="14" t="n"/>
      <c r="E36" s="14" t="n"/>
      <c r="F36" s="14" t="n"/>
      <c r="G36" s="14" t="n"/>
    </row>
    <row r="37" ht="22" customHeight="1">
      <c r="A37" s="2" t="inlineStr">
        <is>
          <t>🏦 ÉPARGNE</t>
        </is>
      </c>
    </row>
    <row r="38" ht="18" customHeight="1">
      <c r="A38" s="3" t="inlineStr">
        <is>
          <t>Catégorie</t>
        </is>
      </c>
      <c r="B38" s="3" t="inlineStr">
        <is>
          <t>Budget Prévu</t>
        </is>
      </c>
      <c r="C38" s="3" t="inlineStr">
        <is>
          <t>Réel</t>
        </is>
      </c>
      <c r="D38" s="3" t="inlineStr">
        <is>
          <t>Écart</t>
        </is>
      </c>
      <c r="E38" s="3" t="inlineStr">
        <is>
          <t>%</t>
        </is>
      </c>
      <c r="F38" s="3" t="inlineStr">
        <is>
          <t>Progression</t>
        </is>
      </c>
      <c r="G38" s="3" t="inlineStr">
        <is>
          <t>✓</t>
        </is>
      </c>
    </row>
    <row r="39" ht="18" customHeight="1">
      <c r="A39" s="4" t="inlineStr">
        <is>
          <t>Livret A</t>
        </is>
      </c>
      <c r="B39" s="5" t="n"/>
      <c r="C39" s="5" t="n"/>
      <c r="D39" s="6">
        <f>B39-C39</f>
        <v/>
      </c>
      <c r="E39" s="7">
        <f>IF(B39=0,"—",C39/B39)</f>
        <v/>
      </c>
      <c r="F39" s="8">
        <f>IF(B39=0,"",REPT("▓",MIN(20,INT(C39/B39*20)))&amp;REPT("░",MAX(0,20-MIN(20,INT(C39/B39*20)))))</f>
        <v/>
      </c>
      <c r="G39" s="9">
        <f>IF(C39="","⬜",IF(C39/B39&lt;0.8,"🟢",IF(C39/B39&lt;=1,"🟡","🔴")))</f>
        <v/>
      </c>
    </row>
    <row r="40" ht="18" customHeight="1">
      <c r="A40" s="4" t="inlineStr">
        <is>
          <t>PEL</t>
        </is>
      </c>
      <c r="B40" s="5" t="n"/>
      <c r="C40" s="5" t="n"/>
      <c r="D40" s="6">
        <f>B40-C40</f>
        <v/>
      </c>
      <c r="E40" s="7">
        <f>IF(B40=0,"—",C40/B40)</f>
        <v/>
      </c>
      <c r="F40" s="8">
        <f>IF(B40=0,"",REPT("▓",MIN(20,INT(C40/B40*20)))&amp;REPT("░",MAX(0,20-MIN(20,INT(C40/B40*20)))))</f>
        <v/>
      </c>
      <c r="G40" s="9">
        <f>IF(C40="","⬜",IF(C40/B40&lt;0.8,"🟢",IF(C40/B40&lt;=1,"🟡","🔴")))</f>
        <v/>
      </c>
    </row>
    <row r="41" ht="18" customHeight="1">
      <c r="A41" s="4" t="inlineStr">
        <is>
          <t>Assurance-vie</t>
        </is>
      </c>
      <c r="B41" s="5" t="n"/>
      <c r="C41" s="5" t="n"/>
      <c r="D41" s="6">
        <f>B41-C41</f>
        <v/>
      </c>
      <c r="E41" s="7">
        <f>IF(B41=0,"—",C41/B41)</f>
        <v/>
      </c>
      <c r="F41" s="8">
        <f>IF(B41=0,"",REPT("▓",MIN(20,INT(C41/B41*20)))&amp;REPT("░",MAX(0,20-MIN(20,INT(C41/B41*20)))))</f>
        <v/>
      </c>
      <c r="G41" s="9">
        <f>IF(C41="","⬜",IF(C41/B41&lt;0.8,"🟢",IF(C41/B41&lt;=1,"🟡","🔴")))</f>
        <v/>
      </c>
    </row>
    <row r="42" ht="18" customHeight="1">
      <c r="A42" s="4" t="inlineStr">
        <is>
          <t>Investissements</t>
        </is>
      </c>
      <c r="B42" s="5" t="n"/>
      <c r="C42" s="5" t="n"/>
      <c r="D42" s="6">
        <f>B42-C42</f>
        <v/>
      </c>
      <c r="E42" s="7">
        <f>IF(B42=0,"—",C42/B42)</f>
        <v/>
      </c>
      <c r="F42" s="8">
        <f>IF(B42=0,"",REPT("▓",MIN(20,INT(C42/B42*20)))&amp;REPT("░",MAX(0,20-MIN(20,INT(C42/B42*20)))))</f>
        <v/>
      </c>
      <c r="G42" s="9">
        <f>IF(C42="","⬜",IF(C42/B42&lt;0.8,"🟢",IF(C42/B42&lt;=1,"🟡","🔴")))</f>
        <v/>
      </c>
    </row>
    <row r="43" ht="20" customHeight="1">
      <c r="A43" s="10" t="inlineStr">
        <is>
          <t>TOTAL</t>
        </is>
      </c>
      <c r="B43" s="11">
        <f>SUM(B39:B42)</f>
        <v/>
      </c>
      <c r="C43" s="11">
        <f>SUM(C39:C42)</f>
        <v/>
      </c>
      <c r="D43" s="11">
        <f>B43-C43</f>
        <v/>
      </c>
      <c r="E43" s="12">
        <f>IF(B43=0,"—",C43/B43)</f>
        <v/>
      </c>
      <c r="F43" s="13" t="n"/>
      <c r="G43" s="13" t="n"/>
    </row>
    <row r="44" ht="8" customHeight="1">
      <c r="A44" s="14" t="n"/>
      <c r="B44" s="14" t="n"/>
      <c r="C44" s="14" t="n"/>
      <c r="D44" s="14" t="n"/>
      <c r="E44" s="14" t="n"/>
      <c r="F44" s="14" t="n"/>
      <c r="G44" s="14" t="n"/>
    </row>
    <row r="46" ht="22" customHeight="1">
      <c r="A46" s="15" t="inlineStr">
        <is>
          <t>Total Revenus</t>
        </is>
      </c>
      <c r="B46" s="13" t="n"/>
      <c r="C46" s="16">
        <f>C8</f>
        <v/>
      </c>
      <c r="D46" s="13" t="n"/>
      <c r="E46" s="13" t="n"/>
      <c r="F46" s="13" t="n"/>
      <c r="G46" s="13" t="n"/>
    </row>
    <row r="47" ht="22" customHeight="1">
      <c r="A47" s="15" t="inlineStr">
        <is>
          <t>Total Dépenses</t>
        </is>
      </c>
      <c r="B47" s="13" t="n"/>
      <c r="C47" s="16">
        <f>C16+C28+C35</f>
        <v/>
      </c>
      <c r="D47" s="13" t="n"/>
      <c r="E47" s="13" t="n"/>
      <c r="F47" s="13" t="n"/>
      <c r="G47" s="13" t="n"/>
    </row>
    <row r="48" ht="22" customHeight="1">
      <c r="A48" s="17" t="inlineStr">
        <is>
          <t>Solde du mois</t>
        </is>
      </c>
      <c r="B48" s="18" t="n"/>
      <c r="C48" s="19">
        <f>C46-C47</f>
        <v/>
      </c>
      <c r="D48" s="18" t="n"/>
      <c r="E48" s="18" t="n"/>
      <c r="F48" s="18" t="n"/>
      <c r="G48" s="18" t="n"/>
    </row>
    <row r="49" ht="22" customHeight="1">
      <c r="A49" s="17" t="inlineStr">
        <is>
          <t>Taux d'épargne</t>
        </is>
      </c>
      <c r="B49" s="18" t="n"/>
      <c r="C49" s="20">
        <f>IF(C46=0,"—",C48/C46)</f>
        <v/>
      </c>
      <c r="D49" s="18" t="n"/>
      <c r="E49" s="18" t="n"/>
      <c r="F49" s="18" t="n"/>
      <c r="G49" s="18" t="n"/>
    </row>
    <row r="50" ht="22" customHeight="1">
      <c r="A50" s="15" t="inlineStr">
        <is>
          <t>Objectif Épargne</t>
        </is>
      </c>
      <c r="B50" s="13" t="n"/>
      <c r="C50" s="21" t="n"/>
      <c r="D50" s="13" t="n"/>
      <c r="E50" s="13" t="n"/>
      <c r="F50" s="13" t="n"/>
      <c r="G50" s="13" t="n"/>
    </row>
  </sheetData>
  <mergeCells count="6">
    <mergeCell ref="A1:G1"/>
    <mergeCell ref="A18:G18"/>
    <mergeCell ref="A30:G30"/>
    <mergeCell ref="A2:G2"/>
    <mergeCell ref="A10:G10"/>
    <mergeCell ref="A37:G3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2B96F"/>
    <outlinePr summaryBelow="1" summaryRight="1"/>
    <pageSetUpPr/>
  </sheetPr>
  <dimension ref="A1:M5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width="14" customWidth="1" min="10" max="10"/>
    <col width="16" customWidth="1" min="11" max="11"/>
    <col width="16" customWidth="1" min="12" max="12"/>
    <col width="16" customWidth="1" min="13" max="13"/>
  </cols>
  <sheetData>
    <row r="1" ht="40" customHeight="1">
      <c r="A1" s="22" t="inlineStr">
        <is>
          <t>📊 TABLEAU DE BORD ANNUEL</t>
        </is>
      </c>
      <c r="I1" s="14" t="n"/>
    </row>
    <row r="2" ht="18" customHeight="1">
      <c r="A2" s="23" t="inlineStr">
        <is>
          <t>💰 Revenus Annuels</t>
        </is>
      </c>
      <c r="C2" s="23" t="inlineStr">
        <is>
          <t>💸 Total Dépenses</t>
        </is>
      </c>
      <c r="E2" s="23" t="inlineStr">
        <is>
          <t>✅ Solde Annuel</t>
        </is>
      </c>
      <c r="G2" s="23" t="inlineStr">
        <is>
          <t>📈 Taux Épargne Moyen</t>
        </is>
      </c>
      <c r="I2" s="14" t="n"/>
    </row>
    <row r="3" ht="30" customHeight="1">
      <c r="A3" s="24">
        <f>SUM(K6:K17)</f>
        <v/>
      </c>
      <c r="C3" s="24">
        <f>SUM(L6:L17)</f>
        <v/>
      </c>
      <c r="E3" s="24">
        <f>SUM(M6:M17)</f>
        <v/>
      </c>
      <c r="G3" s="25">
        <f>IF(SUM(K6:K17)=0,"—",SUM(M6:M17)/SUM(K6:K17))</f>
        <v/>
      </c>
      <c r="I3" s="14" t="n"/>
    </row>
    <row r="4" ht="28" customHeight="1">
      <c r="A4" s="23" t="inlineStr">
        <is>
          <t>🏆 Meilleur Mois</t>
        </is>
      </c>
      <c r="C4" s="26">
        <f>IFERROR(INDEX(J6:J17,MATCH(MAX(M6:M17),M6:M17,0)),"N/A")</f>
        <v/>
      </c>
      <c r="E4" s="23" t="inlineStr">
        <is>
          <t>⚠️ Pire Mois</t>
        </is>
      </c>
      <c r="G4" s="27">
        <f>IFERROR(INDEX(J6:J17,MATCH(MIN(M6:M17),M6:M17,0)),"N/A")</f>
        <v/>
      </c>
      <c r="I4" s="14" t="n"/>
    </row>
    <row r="5" ht="18" customHeight="1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3" t="inlineStr">
        <is>
          <t>Mois</t>
        </is>
      </c>
      <c r="K5" s="3" t="inlineStr">
        <is>
          <t>Revenus</t>
        </is>
      </c>
      <c r="L5" s="3" t="inlineStr">
        <is>
          <t>Dépenses</t>
        </is>
      </c>
      <c r="M5" s="3" t="inlineStr">
        <is>
          <t>Solde</t>
        </is>
      </c>
    </row>
    <row r="6" ht="18" customHeight="1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28" t="inlineStr">
        <is>
          <t>Janvier</t>
        </is>
      </c>
      <c r="K6" s="29">
        <f>'Janvier'!C46</f>
        <v/>
      </c>
      <c r="L6" s="29">
        <f>'Janvier'!C47</f>
        <v/>
      </c>
      <c r="M6" s="29">
        <f>'Janvier'!C48</f>
        <v/>
      </c>
    </row>
    <row r="7" ht="18" customHeight="1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28" t="inlineStr">
        <is>
          <t>Février</t>
        </is>
      </c>
      <c r="K7" s="29">
        <f>'Fevrier'!C46</f>
        <v/>
      </c>
      <c r="L7" s="29">
        <f>'Fevrier'!C47</f>
        <v/>
      </c>
      <c r="M7" s="29">
        <f>'Fevrier'!C48</f>
        <v/>
      </c>
    </row>
    <row r="8" ht="18" customHeight="1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28" t="inlineStr">
        <is>
          <t>Mars</t>
        </is>
      </c>
      <c r="K8" s="29">
        <f>'Mars'!C46</f>
        <v/>
      </c>
      <c r="L8" s="29">
        <f>'Mars'!C47</f>
        <v/>
      </c>
      <c r="M8" s="29">
        <f>'Mars'!C48</f>
        <v/>
      </c>
    </row>
    <row r="9" ht="18" customHeight="1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28" t="inlineStr">
        <is>
          <t>Avril</t>
        </is>
      </c>
      <c r="K9" s="29">
        <f>'Avril'!C46</f>
        <v/>
      </c>
      <c r="L9" s="29">
        <f>'Avril'!C47</f>
        <v/>
      </c>
      <c r="M9" s="29">
        <f>'Avril'!C48</f>
        <v/>
      </c>
    </row>
    <row r="10" ht="18" customHeight="1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28" t="inlineStr">
        <is>
          <t>Mai</t>
        </is>
      </c>
      <c r="K10" s="29">
        <f>'Mai'!C46</f>
        <v/>
      </c>
      <c r="L10" s="29">
        <f>'Mai'!C47</f>
        <v/>
      </c>
      <c r="M10" s="29">
        <f>'Mai'!C48</f>
        <v/>
      </c>
    </row>
    <row r="11" ht="18" customHeight="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28" t="inlineStr">
        <is>
          <t>Juin</t>
        </is>
      </c>
      <c r="K11" s="29">
        <f>'Juin'!C46</f>
        <v/>
      </c>
      <c r="L11" s="29">
        <f>'Juin'!C47</f>
        <v/>
      </c>
      <c r="M11" s="29">
        <f>'Juin'!C48</f>
        <v/>
      </c>
    </row>
    <row r="12" ht="18" customHeight="1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28" t="inlineStr">
        <is>
          <t>Juillet</t>
        </is>
      </c>
      <c r="K12" s="29">
        <f>'Juillet'!C46</f>
        <v/>
      </c>
      <c r="L12" s="29">
        <f>'Juillet'!C47</f>
        <v/>
      </c>
      <c r="M12" s="29">
        <f>'Juillet'!C48</f>
        <v/>
      </c>
    </row>
    <row r="13" ht="18" customHeight="1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28" t="inlineStr">
        <is>
          <t>Août</t>
        </is>
      </c>
      <c r="K13" s="29">
        <f>'Aout'!C46</f>
        <v/>
      </c>
      <c r="L13" s="29">
        <f>'Aout'!C47</f>
        <v/>
      </c>
      <c r="M13" s="29">
        <f>'Aout'!C48</f>
        <v/>
      </c>
    </row>
    <row r="14" ht="18" customHeight="1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28" t="inlineStr">
        <is>
          <t>Septembre</t>
        </is>
      </c>
      <c r="K14" s="29">
        <f>'Septembre'!C46</f>
        <v/>
      </c>
      <c r="L14" s="29">
        <f>'Septembre'!C47</f>
        <v/>
      </c>
      <c r="M14" s="29">
        <f>'Septembre'!C48</f>
        <v/>
      </c>
    </row>
    <row r="15" ht="18" customHeight="1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28" t="inlineStr">
        <is>
          <t>Octobre</t>
        </is>
      </c>
      <c r="K15" s="29">
        <f>'Octobre'!C46</f>
        <v/>
      </c>
      <c r="L15" s="29">
        <f>'Octobre'!C47</f>
        <v/>
      </c>
      <c r="M15" s="29">
        <f>'Octobre'!C48</f>
        <v/>
      </c>
    </row>
    <row r="16" ht="18" customHeight="1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28" t="inlineStr">
        <is>
          <t>Novembre</t>
        </is>
      </c>
      <c r="K16" s="29">
        <f>'Novembre'!C46</f>
        <v/>
      </c>
      <c r="L16" s="29">
        <f>'Novembre'!C47</f>
        <v/>
      </c>
      <c r="M16" s="29">
        <f>'Novembre'!C48</f>
        <v/>
      </c>
    </row>
    <row r="17" ht="18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28" t="inlineStr">
        <is>
          <t>Décembre</t>
        </is>
      </c>
      <c r="K17" s="29">
        <f>'Decembre'!C46</f>
        <v/>
      </c>
      <c r="L17" s="29">
        <f>'Decembre'!C47</f>
        <v/>
      </c>
      <c r="M17" s="29">
        <f>'Decembre'!C48</f>
        <v/>
      </c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</row>
  </sheetData>
  <mergeCells count="13">
    <mergeCell ref="A4:B4"/>
    <mergeCell ref="G4:H4"/>
    <mergeCell ref="E4:F4"/>
    <mergeCell ref="A2:B2"/>
    <mergeCell ref="C2:D2"/>
    <mergeCell ref="G2:H2"/>
    <mergeCell ref="E2:F2"/>
    <mergeCell ref="A1:H1"/>
    <mergeCell ref="C3:D3"/>
    <mergeCell ref="A3:B3"/>
    <mergeCell ref="G3:H3"/>
    <mergeCell ref="E3:F3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5C7A6B"/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14" customWidth="1" min="4" max="4"/>
    <col width="12" customWidth="1" min="5" max="5"/>
    <col width="14" customWidth="1" min="6" max="6"/>
  </cols>
  <sheetData>
    <row r="1" ht="36" customHeight="1">
      <c r="A1" s="30" t="inlineStr">
        <is>
          <t>💳 JOURNAL DES TRANSACTIONS</t>
        </is>
      </c>
    </row>
    <row r="2" ht="22" customHeight="1">
      <c r="A2" s="31" t="inlineStr">
        <is>
          <t>Date</t>
        </is>
      </c>
      <c r="B2" s="31" t="inlineStr">
        <is>
          <t>Description</t>
        </is>
      </c>
      <c r="C2" s="31" t="inlineStr">
        <is>
          <t>Catégorie</t>
        </is>
      </c>
      <c r="D2" s="31" t="inlineStr">
        <is>
          <t>Montant</t>
        </is>
      </c>
      <c r="E2" s="31" t="inlineStr">
        <is>
          <t>Type</t>
        </is>
      </c>
      <c r="F2" s="31" t="inlineStr">
        <is>
          <t>Mois</t>
        </is>
      </c>
    </row>
    <row r="3" ht="18" customHeight="1">
      <c r="A3" s="32" t="n"/>
      <c r="B3" s="32" t="n"/>
      <c r="C3" s="32" t="n"/>
      <c r="D3" s="6" t="n"/>
      <c r="E3" s="32" t="n"/>
      <c r="F3" s="32" t="n"/>
    </row>
    <row r="4" ht="18" customHeight="1">
      <c r="A4" s="28" t="n"/>
      <c r="B4" s="28" t="n"/>
      <c r="C4" s="28" t="n"/>
      <c r="D4" s="29" t="n"/>
      <c r="E4" s="28" t="n"/>
      <c r="F4" s="28" t="n"/>
    </row>
    <row r="5" ht="18" customHeight="1">
      <c r="A5" s="32" t="n"/>
      <c r="B5" s="32" t="n"/>
      <c r="C5" s="32" t="n"/>
      <c r="D5" s="6" t="n"/>
      <c r="E5" s="32" t="n"/>
      <c r="F5" s="32" t="n"/>
    </row>
    <row r="6" ht="18" customHeight="1">
      <c r="A6" s="28" t="n"/>
      <c r="B6" s="28" t="n"/>
      <c r="C6" s="28" t="n"/>
      <c r="D6" s="29" t="n"/>
      <c r="E6" s="28" t="n"/>
      <c r="F6" s="28" t="n"/>
    </row>
    <row r="7" ht="18" customHeight="1">
      <c r="A7" s="32" t="n"/>
      <c r="B7" s="32" t="n"/>
      <c r="C7" s="32" t="n"/>
      <c r="D7" s="6" t="n"/>
      <c r="E7" s="32" t="n"/>
      <c r="F7" s="32" t="n"/>
    </row>
    <row r="8" ht="18" customHeight="1">
      <c r="A8" s="28" t="n"/>
      <c r="B8" s="28" t="n"/>
      <c r="C8" s="28" t="n"/>
      <c r="D8" s="29" t="n"/>
      <c r="E8" s="28" t="n"/>
      <c r="F8" s="28" t="n"/>
    </row>
    <row r="9" ht="18" customHeight="1">
      <c r="A9" s="32" t="n"/>
      <c r="B9" s="32" t="n"/>
      <c r="C9" s="32" t="n"/>
      <c r="D9" s="6" t="n"/>
      <c r="E9" s="32" t="n"/>
      <c r="F9" s="32" t="n"/>
    </row>
    <row r="10" ht="18" customHeight="1">
      <c r="A10" s="28" t="n"/>
      <c r="B10" s="28" t="n"/>
      <c r="C10" s="28" t="n"/>
      <c r="D10" s="29" t="n"/>
      <c r="E10" s="28" t="n"/>
      <c r="F10" s="28" t="n"/>
    </row>
    <row r="11" ht="18" customHeight="1">
      <c r="A11" s="32" t="n"/>
      <c r="B11" s="32" t="n"/>
      <c r="C11" s="32" t="n"/>
      <c r="D11" s="6" t="n"/>
      <c r="E11" s="32" t="n"/>
      <c r="F11" s="32" t="n"/>
    </row>
    <row r="12" ht="18" customHeight="1">
      <c r="A12" s="28" t="n"/>
      <c r="B12" s="28" t="n"/>
      <c r="C12" s="28" t="n"/>
      <c r="D12" s="29" t="n"/>
      <c r="E12" s="28" t="n"/>
      <c r="F12" s="28" t="n"/>
    </row>
    <row r="13" ht="18" customHeight="1">
      <c r="A13" s="32" t="n"/>
      <c r="B13" s="32" t="n"/>
      <c r="C13" s="32" t="n"/>
      <c r="D13" s="6" t="n"/>
      <c r="E13" s="32" t="n"/>
      <c r="F13" s="32" t="n"/>
    </row>
    <row r="14" ht="18" customHeight="1">
      <c r="A14" s="28" t="n"/>
      <c r="B14" s="28" t="n"/>
      <c r="C14" s="28" t="n"/>
      <c r="D14" s="29" t="n"/>
      <c r="E14" s="28" t="n"/>
      <c r="F14" s="28" t="n"/>
    </row>
    <row r="15" ht="18" customHeight="1">
      <c r="A15" s="32" t="n"/>
      <c r="B15" s="32" t="n"/>
      <c r="C15" s="32" t="n"/>
      <c r="D15" s="6" t="n"/>
      <c r="E15" s="32" t="n"/>
      <c r="F15" s="32" t="n"/>
    </row>
    <row r="16" ht="18" customHeight="1">
      <c r="A16" s="28" t="n"/>
      <c r="B16" s="28" t="n"/>
      <c r="C16" s="28" t="n"/>
      <c r="D16" s="29" t="n"/>
      <c r="E16" s="28" t="n"/>
      <c r="F16" s="28" t="n"/>
    </row>
    <row r="17" ht="18" customHeight="1">
      <c r="A17" s="32" t="n"/>
      <c r="B17" s="32" t="n"/>
      <c r="C17" s="32" t="n"/>
      <c r="D17" s="6" t="n"/>
      <c r="E17" s="32" t="n"/>
      <c r="F17" s="32" t="n"/>
    </row>
    <row r="18" ht="18" customHeight="1">
      <c r="A18" s="28" t="n"/>
      <c r="B18" s="28" t="n"/>
      <c r="C18" s="28" t="n"/>
      <c r="D18" s="29" t="n"/>
      <c r="E18" s="28" t="n"/>
      <c r="F18" s="28" t="n"/>
    </row>
    <row r="19" ht="18" customHeight="1">
      <c r="A19" s="32" t="n"/>
      <c r="B19" s="32" t="n"/>
      <c r="C19" s="32" t="n"/>
      <c r="D19" s="6" t="n"/>
      <c r="E19" s="32" t="n"/>
      <c r="F19" s="32" t="n"/>
    </row>
    <row r="20" ht="18" customHeight="1">
      <c r="A20" s="28" t="n"/>
      <c r="B20" s="28" t="n"/>
      <c r="C20" s="28" t="n"/>
      <c r="D20" s="29" t="n"/>
      <c r="E20" s="28" t="n"/>
      <c r="F20" s="28" t="n"/>
    </row>
    <row r="21" ht="18" customHeight="1">
      <c r="A21" s="32" t="n"/>
      <c r="B21" s="32" t="n"/>
      <c r="C21" s="32" t="n"/>
      <c r="D21" s="6" t="n"/>
      <c r="E21" s="32" t="n"/>
      <c r="F21" s="32" t="n"/>
    </row>
    <row r="22" ht="18" customHeight="1">
      <c r="A22" s="28" t="n"/>
      <c r="B22" s="28" t="n"/>
      <c r="C22" s="28" t="n"/>
      <c r="D22" s="29" t="n"/>
      <c r="E22" s="28" t="n"/>
      <c r="F22" s="28" t="n"/>
    </row>
    <row r="23" ht="18" customHeight="1">
      <c r="A23" s="32" t="n"/>
      <c r="B23" s="32" t="n"/>
      <c r="C23" s="32" t="n"/>
      <c r="D23" s="6" t="n"/>
      <c r="E23" s="32" t="n"/>
      <c r="F23" s="32" t="n"/>
    </row>
    <row r="24" ht="18" customHeight="1">
      <c r="A24" s="28" t="n"/>
      <c r="B24" s="28" t="n"/>
      <c r="C24" s="28" t="n"/>
      <c r="D24" s="29" t="n"/>
      <c r="E24" s="28" t="n"/>
      <c r="F24" s="28" t="n"/>
    </row>
    <row r="25" ht="18" customHeight="1">
      <c r="A25" s="32" t="n"/>
      <c r="B25" s="32" t="n"/>
      <c r="C25" s="32" t="n"/>
      <c r="D25" s="6" t="n"/>
      <c r="E25" s="32" t="n"/>
      <c r="F25" s="32" t="n"/>
    </row>
    <row r="26" ht="18" customHeight="1">
      <c r="A26" s="28" t="n"/>
      <c r="B26" s="28" t="n"/>
      <c r="C26" s="28" t="n"/>
      <c r="D26" s="29" t="n"/>
      <c r="E26" s="28" t="n"/>
      <c r="F26" s="28" t="n"/>
    </row>
    <row r="27" ht="18" customHeight="1">
      <c r="A27" s="32" t="n"/>
      <c r="B27" s="32" t="n"/>
      <c r="C27" s="32" t="n"/>
      <c r="D27" s="6" t="n"/>
      <c r="E27" s="32" t="n"/>
      <c r="F27" s="32" t="n"/>
    </row>
    <row r="28" ht="18" customHeight="1">
      <c r="A28" s="28" t="n"/>
      <c r="B28" s="28" t="n"/>
      <c r="C28" s="28" t="n"/>
      <c r="D28" s="29" t="n"/>
      <c r="E28" s="28" t="n"/>
      <c r="F28" s="28" t="n"/>
    </row>
    <row r="29" ht="18" customHeight="1">
      <c r="A29" s="32" t="n"/>
      <c r="B29" s="32" t="n"/>
      <c r="C29" s="32" t="n"/>
      <c r="D29" s="6" t="n"/>
      <c r="E29" s="32" t="n"/>
      <c r="F29" s="32" t="n"/>
    </row>
    <row r="30" ht="18" customHeight="1">
      <c r="A30" s="28" t="n"/>
      <c r="B30" s="28" t="n"/>
      <c r="C30" s="28" t="n"/>
      <c r="D30" s="29" t="n"/>
      <c r="E30" s="28" t="n"/>
      <c r="F30" s="28" t="n"/>
    </row>
    <row r="31" ht="18" customHeight="1">
      <c r="A31" s="32" t="n"/>
      <c r="B31" s="32" t="n"/>
      <c r="C31" s="32" t="n"/>
      <c r="D31" s="6" t="n"/>
      <c r="E31" s="32" t="n"/>
      <c r="F31" s="32" t="n"/>
    </row>
    <row r="32" ht="18" customHeight="1">
      <c r="A32" s="28" t="n"/>
      <c r="B32" s="28" t="n"/>
      <c r="C32" s="28" t="n"/>
      <c r="D32" s="29" t="n"/>
      <c r="E32" s="28" t="n"/>
      <c r="F32" s="28" t="n"/>
    </row>
    <row r="33" ht="18" customHeight="1">
      <c r="A33" s="32" t="n"/>
      <c r="B33" s="32" t="n"/>
      <c r="C33" s="32" t="n"/>
      <c r="D33" s="6" t="n"/>
      <c r="E33" s="32" t="n"/>
      <c r="F33" s="32" t="n"/>
    </row>
    <row r="34" ht="18" customHeight="1">
      <c r="A34" s="28" t="n"/>
      <c r="B34" s="28" t="n"/>
      <c r="C34" s="28" t="n"/>
      <c r="D34" s="29" t="n"/>
      <c r="E34" s="28" t="n"/>
      <c r="F34" s="28" t="n"/>
    </row>
    <row r="35" ht="18" customHeight="1">
      <c r="A35" s="32" t="n"/>
      <c r="B35" s="32" t="n"/>
      <c r="C35" s="32" t="n"/>
      <c r="D35" s="6" t="n"/>
      <c r="E35" s="32" t="n"/>
      <c r="F35" s="32" t="n"/>
    </row>
    <row r="36" ht="18" customHeight="1">
      <c r="A36" s="28" t="n"/>
      <c r="B36" s="28" t="n"/>
      <c r="C36" s="28" t="n"/>
      <c r="D36" s="29" t="n"/>
      <c r="E36" s="28" t="n"/>
      <c r="F36" s="28" t="n"/>
    </row>
    <row r="37" ht="18" customHeight="1">
      <c r="A37" s="32" t="n"/>
      <c r="B37" s="32" t="n"/>
      <c r="C37" s="32" t="n"/>
      <c r="D37" s="6" t="n"/>
      <c r="E37" s="32" t="n"/>
      <c r="F37" s="32" t="n"/>
    </row>
    <row r="38" ht="18" customHeight="1">
      <c r="A38" s="28" t="n"/>
      <c r="B38" s="28" t="n"/>
      <c r="C38" s="28" t="n"/>
      <c r="D38" s="29" t="n"/>
      <c r="E38" s="28" t="n"/>
      <c r="F38" s="28" t="n"/>
    </row>
    <row r="39" ht="18" customHeight="1">
      <c r="A39" s="32" t="n"/>
      <c r="B39" s="32" t="n"/>
      <c r="C39" s="32" t="n"/>
      <c r="D39" s="6" t="n"/>
      <c r="E39" s="32" t="n"/>
      <c r="F39" s="32" t="n"/>
    </row>
    <row r="40" ht="18" customHeight="1">
      <c r="A40" s="28" t="n"/>
      <c r="B40" s="28" t="n"/>
      <c r="C40" s="28" t="n"/>
      <c r="D40" s="29" t="n"/>
      <c r="E40" s="28" t="n"/>
      <c r="F40" s="28" t="n"/>
    </row>
    <row r="41" ht="18" customHeight="1">
      <c r="A41" s="32" t="n"/>
      <c r="B41" s="32" t="n"/>
      <c r="C41" s="32" t="n"/>
      <c r="D41" s="6" t="n"/>
      <c r="E41" s="32" t="n"/>
      <c r="F41" s="32" t="n"/>
    </row>
    <row r="42" ht="18" customHeight="1">
      <c r="A42" s="28" t="n"/>
      <c r="B42" s="28" t="n"/>
      <c r="C42" s="28" t="n"/>
      <c r="D42" s="29" t="n"/>
      <c r="E42" s="28" t="n"/>
      <c r="F42" s="28" t="n"/>
    </row>
    <row r="43" ht="18" customHeight="1">
      <c r="A43" s="32" t="n"/>
      <c r="B43" s="32" t="n"/>
      <c r="C43" s="32" t="n"/>
      <c r="D43" s="6" t="n"/>
      <c r="E43" s="32" t="n"/>
      <c r="F43" s="32" t="n"/>
    </row>
    <row r="44" ht="18" customHeight="1">
      <c r="A44" s="28" t="n"/>
      <c r="B44" s="28" t="n"/>
      <c r="C44" s="28" t="n"/>
      <c r="D44" s="29" t="n"/>
      <c r="E44" s="28" t="n"/>
      <c r="F44" s="28" t="n"/>
    </row>
    <row r="45" ht="18" customHeight="1">
      <c r="A45" s="32" t="n"/>
      <c r="B45" s="32" t="n"/>
      <c r="C45" s="32" t="n"/>
      <c r="D45" s="6" t="n"/>
      <c r="E45" s="32" t="n"/>
      <c r="F45" s="32" t="n"/>
    </row>
    <row r="46" ht="18" customHeight="1">
      <c r="A46" s="28" t="n"/>
      <c r="B46" s="28" t="n"/>
      <c r="C46" s="28" t="n"/>
      <c r="D46" s="29" t="n"/>
      <c r="E46" s="28" t="n"/>
      <c r="F46" s="28" t="n"/>
    </row>
    <row r="47" ht="18" customHeight="1">
      <c r="A47" s="32" t="n"/>
      <c r="B47" s="32" t="n"/>
      <c r="C47" s="32" t="n"/>
      <c r="D47" s="6" t="n"/>
      <c r="E47" s="32" t="n"/>
      <c r="F47" s="32" t="n"/>
    </row>
    <row r="48" ht="18" customHeight="1">
      <c r="A48" s="28" t="n"/>
      <c r="B48" s="28" t="n"/>
      <c r="C48" s="28" t="n"/>
      <c r="D48" s="29" t="n"/>
      <c r="E48" s="28" t="n"/>
      <c r="F48" s="28" t="n"/>
    </row>
    <row r="49" ht="18" customHeight="1">
      <c r="A49" s="32" t="n"/>
      <c r="B49" s="32" t="n"/>
      <c r="C49" s="32" t="n"/>
      <c r="D49" s="6" t="n"/>
      <c r="E49" s="32" t="n"/>
      <c r="F49" s="32" t="n"/>
    </row>
    <row r="50" ht="18" customHeight="1">
      <c r="A50" s="28" t="n"/>
      <c r="B50" s="28" t="n"/>
      <c r="C50" s="28" t="n"/>
      <c r="D50" s="29" t="n"/>
      <c r="E50" s="28" t="n"/>
      <c r="F50" s="28" t="n"/>
    </row>
    <row r="51" ht="18" customHeight="1">
      <c r="A51" s="32" t="n"/>
      <c r="B51" s="32" t="n"/>
      <c r="C51" s="32" t="n"/>
      <c r="D51" s="6" t="n"/>
      <c r="E51" s="32" t="n"/>
      <c r="F51" s="32" t="n"/>
    </row>
    <row r="52" ht="18" customHeight="1">
      <c r="A52" s="28" t="n"/>
      <c r="B52" s="28" t="n"/>
      <c r="C52" s="28" t="n"/>
      <c r="D52" s="29" t="n"/>
      <c r="E52" s="28" t="n"/>
      <c r="F52" s="28" t="n"/>
    </row>
  </sheetData>
  <mergeCells count="1">
    <mergeCell ref="A1:F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D4876B"/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5" customWidth="1" min="3" max="3"/>
    <col width="30" customWidth="1" min="4" max="4"/>
  </cols>
  <sheetData>
    <row r="1" ht="36" customHeight="1">
      <c r="A1" s="30" t="inlineStr">
        <is>
          <t>📖 GUIDE D'UTILISATION</t>
        </is>
      </c>
    </row>
    <row r="2" ht="20" customHeight="1">
      <c r="A2" s="33" t="inlineStr">
        <is>
          <t>🚀 DÉMARRAGE RAPIDE</t>
        </is>
      </c>
    </row>
    <row r="3" ht="18" customHeight="1">
      <c r="A3" s="34" t="inlineStr">
        <is>
          <t>1. Sélectionnez l'onglet du mois en cours (ex: Janvier)</t>
        </is>
      </c>
    </row>
    <row r="4" ht="18" customHeight="1">
      <c r="A4" s="34" t="inlineStr">
        <is>
          <t>2. Remplissez les cellules jaunes (Budget Prévu et Réel)</t>
        </is>
      </c>
    </row>
    <row r="5" ht="18" customHeight="1">
      <c r="A5" s="34" t="inlineStr">
        <is>
          <t>3. Les formules calculent automatiquement les écarts et %</t>
        </is>
      </c>
    </row>
    <row r="6" ht="18" customHeight="1">
      <c r="A6" s="34" t="inlineStr">
        <is>
          <t>4. Consultez le tableau de bord pour une vue annuelle</t>
        </is>
      </c>
    </row>
    <row r="7" ht="18" customHeight="1">
      <c r="A7" s="34" t="inlineStr"/>
    </row>
    <row r="8" ht="20" customHeight="1">
      <c r="A8" s="33" t="inlineStr">
        <is>
          <t>💰 ONGLETS MENSUELS</t>
        </is>
      </c>
    </row>
    <row r="9" ht="18" customHeight="1">
      <c r="A9" s="34" t="inlineStr">
        <is>
          <t>• Colonnes jaunes = saisie utilisateur uniquement</t>
        </is>
      </c>
    </row>
    <row r="10" ht="18" customHeight="1">
      <c r="A10" s="34" t="inlineStr">
        <is>
          <t>• Colonne D (Écart) = Budget - Réel (auto)</t>
        </is>
      </c>
    </row>
    <row r="11" ht="18" customHeight="1">
      <c r="A11" s="34" t="inlineStr">
        <is>
          <t>• Colonne E (%) = Réel / Budget en pourcentage (auto)</t>
        </is>
      </c>
    </row>
    <row r="12" ht="18" customHeight="1">
      <c r="A12" s="34" t="inlineStr">
        <is>
          <t>• Colonne F = Barre de progression visuelle (auto)</t>
        </is>
      </c>
    </row>
    <row r="13" ht="18" customHeight="1">
      <c r="A13" s="34" t="inlineStr">
        <is>
          <t>• 🟢 = sous 80% du budget | 🟡 = 80-100% | 🔴 = dépassement</t>
        </is>
      </c>
    </row>
    <row r="14" ht="18" customHeight="1">
      <c r="A14" s="34" t="inlineStr"/>
    </row>
    <row r="15" ht="20" customHeight="1">
      <c r="A15" s="33" t="inlineStr">
        <is>
          <t>📊 TABLEAU DE BORD</t>
        </is>
      </c>
    </row>
    <row r="16" ht="18" customHeight="1">
      <c r="A16" s="34" t="inlineStr">
        <is>
          <t>• Se met à jour automatiquement depuis les onglets mensuels</t>
        </is>
      </c>
    </row>
    <row r="17" ht="18" customHeight="1">
      <c r="A17" s="34" t="inlineStr">
        <is>
          <t>• Le graphique compare revenus vs dépenses sur l'année</t>
        </is>
      </c>
    </row>
    <row r="18" ht="18" customHeight="1">
      <c r="A18" s="34" t="inlineStr">
        <is>
          <t>• Identifie le meilleur et le pire mois automatiquement</t>
        </is>
      </c>
    </row>
    <row r="19" ht="18" customHeight="1">
      <c r="A19" s="34" t="inlineStr"/>
    </row>
    <row r="20" ht="20" customHeight="1">
      <c r="A20" s="33" t="inlineStr">
        <is>
          <t>💳 JOURNAL DES TRANSACTIONS</t>
        </is>
      </c>
    </row>
    <row r="21" ht="18" customHeight="1">
      <c r="A21" s="34" t="inlineStr">
        <is>
          <t>• Saisissez chaque dépense/revenu au fil de l'eau</t>
        </is>
      </c>
    </row>
    <row r="22" ht="18" customHeight="1">
      <c r="A22" s="34" t="inlineStr">
        <is>
          <t>• Utilisez le champ Mois pour filtrer par période</t>
        </is>
      </c>
    </row>
    <row r="23" ht="18" customHeight="1">
      <c r="A23" s="34" t="inlineStr"/>
    </row>
    <row r="24" ht="20" customHeight="1">
      <c r="A24" s="33" t="inlineStr">
        <is>
          <t>⚠️ CONSEILS IMPORTANTS</t>
        </is>
      </c>
    </row>
    <row r="25" ht="18" customHeight="1">
      <c r="A25" s="34" t="inlineStr">
        <is>
          <t>• Sauvegardez régulièrement votre fichier</t>
        </is>
      </c>
    </row>
    <row r="26" ht="18" customHeight="1">
      <c r="A26" s="34" t="inlineStr">
        <is>
          <t>• Ne supprimez pas les formules dans les colonnes D, E, F, G</t>
        </is>
      </c>
    </row>
  </sheetData>
  <mergeCells count="26">
    <mergeCell ref="A5:D5"/>
    <mergeCell ref="A17:D17"/>
    <mergeCell ref="A23:D23"/>
    <mergeCell ref="A8:D8"/>
    <mergeCell ref="A22:D22"/>
    <mergeCell ref="A4:D4"/>
    <mergeCell ref="A20:D20"/>
    <mergeCell ref="A19:D19"/>
    <mergeCell ref="A10:D10"/>
    <mergeCell ref="A13:D13"/>
    <mergeCell ref="A9:D9"/>
    <mergeCell ref="A15:D15"/>
    <mergeCell ref="A24:D24"/>
    <mergeCell ref="A11:D11"/>
    <mergeCell ref="A1:D1"/>
    <mergeCell ref="A6:D6"/>
    <mergeCell ref="A7:D7"/>
    <mergeCell ref="A25:D25"/>
    <mergeCell ref="A16:D16"/>
    <mergeCell ref="A18:D18"/>
    <mergeCell ref="A12:D12"/>
    <mergeCell ref="A3:D3"/>
    <mergeCell ref="A21:D21"/>
    <mergeCell ref="A26:D26"/>
    <mergeCell ref="A2:D2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2026-06-17T15:11:03Z</dcterms:created>
  <dcterms:modified xsi:type="dcterms:W3CDTF">2026-06-17T15:11:03Z</dcterms:modified>
</cp:coreProperties>
</file>