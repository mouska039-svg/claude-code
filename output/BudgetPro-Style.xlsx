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Janvier" sheetId="2" state="visible" r:id="rId2"/>
    <sheet name="Fevrier" sheetId="3" state="visible" r:id="rId3"/>
    <sheet name="Mars" sheetId="4" state="visible" r:id="rId4"/>
    <sheet name="Avril" sheetId="5" state="visible" r:id="rId5"/>
    <sheet name="Mai" sheetId="6" state="visible" r:id="rId6"/>
    <sheet name="Juin" sheetId="7" state="visible" r:id="rId7"/>
    <sheet name="Juillet" sheetId="8" state="visible" r:id="rId8"/>
    <sheet name="Aout" sheetId="9" state="visible" r:id="rId9"/>
    <sheet name="Septembre" sheetId="10" state="visible" r:id="rId10"/>
    <sheet name="Octobre" sheetId="11" state="visible" r:id="rId11"/>
    <sheet name="Novembre" sheetId="12" state="visible" r:id="rId12"/>
    <sheet name="Decembre" sheetId="13" state="visible" r:id="rId13"/>
    <sheet name="Dashboard" sheetId="14" state="visible" r:id="rId14"/>
    <sheet name="Data_Dash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41">
    <font>
      <name val="Calibri"/>
      <family val="2"/>
      <color theme="1"/>
      <sz val="11"/>
      <scheme val="minor"/>
    </font>
    <font>
      <name val="Calibri"/>
      <b val="1"/>
      <color rgb="00E2B96F"/>
      <sz val="16"/>
    </font>
    <font>
      <name val="Calibri"/>
      <b val="1"/>
      <color rgb="008B8A87"/>
      <sz val="9"/>
    </font>
    <font>
      <name val="Calibri"/>
      <b val="1"/>
      <color rgb="005C7A6B"/>
      <sz val="10"/>
    </font>
    <font>
      <name val="Calibri"/>
      <color rgb="00FFFFFF"/>
      <sz val="10"/>
    </font>
    <font>
      <name val="Courier New"/>
      <color rgb="005C7A6B"/>
      <sz val="9"/>
    </font>
    <font>
      <name val="Calibri"/>
      <color rgb="00FFFFFF"/>
      <sz val="11"/>
    </font>
    <font>
      <name val="Courier New"/>
      <b val="1"/>
      <color rgb="005C7A6B"/>
      <sz val="9"/>
    </font>
    <font>
      <name val="Calibri"/>
      <b val="1"/>
      <color rgb="00D4876B"/>
      <sz val="10"/>
    </font>
    <font>
      <name val="Courier New"/>
      <color rgb="00D4876B"/>
      <sz val="9"/>
    </font>
    <font>
      <name val="Courier New"/>
      <b val="1"/>
      <color rgb="00D4876B"/>
      <sz val="9"/>
    </font>
    <font>
      <name val="Calibri"/>
      <b val="1"/>
      <color rgb="00E2B96F"/>
      <sz val="10"/>
    </font>
    <font>
      <name val="Courier New"/>
      <color rgb="00E2B96F"/>
      <sz val="9"/>
    </font>
    <font>
      <name val="Courier New"/>
      <b val="1"/>
      <color rgb="00E2B96F"/>
      <sz val="9"/>
    </font>
    <font>
      <name val="Calibri"/>
      <b val="1"/>
      <color rgb="004ECDC4"/>
      <sz val="10"/>
    </font>
    <font>
      <name val="Courier New"/>
      <color rgb="004ECDC4"/>
      <sz val="9"/>
    </font>
    <font>
      <name val="Courier New"/>
      <b val="1"/>
      <color rgb="004ECDC4"/>
      <sz val="9"/>
    </font>
    <font>
      <name val="Calibri"/>
      <b val="1"/>
      <color rgb="00FF6B9D"/>
      <sz val="10"/>
    </font>
    <font>
      <name val="Courier New"/>
      <color rgb="00FF6B9D"/>
      <sz val="9"/>
    </font>
    <font>
      <name val="Courier New"/>
      <b val="1"/>
      <color rgb="00FF6B9D"/>
      <sz val="9"/>
    </font>
    <font>
      <name val="Calibri"/>
      <b val="1"/>
      <color rgb="00E2B96F"/>
      <sz val="12"/>
    </font>
    <font>
      <name val="Calibri"/>
      <b val="1"/>
      <color rgb="005C7A6B"/>
      <sz val="12"/>
    </font>
    <font>
      <name val="Calibri"/>
      <b val="1"/>
      <color rgb="00D4876B"/>
      <sz val="12"/>
    </font>
    <font>
      <name val="Calibri"/>
      <b val="1"/>
      <color rgb="004ECDC4"/>
      <sz val="12"/>
    </font>
    <font>
      <name val="Calibri"/>
      <b val="1"/>
      <color rgb="00FF6B9D"/>
      <sz val="12"/>
    </font>
    <font>
      <name val="Calibri"/>
      <b val="1"/>
      <color rgb="00E2B96F"/>
      <sz val="22"/>
    </font>
    <font>
      <name val="Calibri"/>
      <i val="1"/>
      <color rgb="008B8A87"/>
      <sz val="10"/>
    </font>
    <font>
      <name val="Calibri"/>
      <b val="1"/>
      <color rgb="00E2B96F"/>
      <sz val="11"/>
    </font>
    <font>
      <name val="Calibri"/>
      <b val="1"/>
      <color rgb="00E2B96F"/>
      <sz val="18"/>
    </font>
    <font>
      <name val="Calibri"/>
      <color rgb="008B8A87"/>
      <sz val="9"/>
    </font>
    <font>
      <name val="Calibri"/>
      <b val="1"/>
      <color rgb="005C7A6B"/>
      <sz val="14"/>
    </font>
    <font>
      <name val="Calibri"/>
      <b val="1"/>
      <color rgb="00D4876B"/>
      <sz val="14"/>
    </font>
    <font>
      <name val="Calibri"/>
      <b val="1"/>
      <color rgb="004ECDC4"/>
      <sz val="14"/>
    </font>
    <font>
      <name val="Calibri"/>
      <b val="1"/>
      <color rgb="00FF6B9D"/>
      <sz val="14"/>
    </font>
    <font>
      <name val="Calibri"/>
      <b val="1"/>
      <color rgb="00E2B96F"/>
      <sz val="14"/>
    </font>
    <font>
      <name val="Calibri"/>
      <b val="1"/>
      <color rgb="004CAF87"/>
      <sz val="14"/>
    </font>
    <font>
      <name val="Calibri"/>
      <color rgb="005C7A6B"/>
      <sz val="10"/>
    </font>
    <font>
      <name val="Calibri"/>
      <color rgb="00D4876B"/>
      <sz val="10"/>
    </font>
    <font>
      <name val="Calibri"/>
      <color rgb="004ECDC4"/>
      <sz val="10"/>
    </font>
    <font>
      <name val="Calibri"/>
      <color rgb="00FF6B9D"/>
      <sz val="10"/>
    </font>
    <font>
      <name val="Calibri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E2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25" fillId="3" borderId="0" applyAlignment="1" pivotButton="0" quotePrefix="0" xfId="0">
      <alignment horizontal="center" vertical="center"/>
    </xf>
    <xf numFmtId="0" fontId="26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9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9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center" vertical="center"/>
    </xf>
    <xf numFmtId="9" fontId="3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8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4" fontId="8" fillId="3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164" fontId="11" fillId="3" borderId="0" applyAlignment="1" pivotButton="0" quotePrefix="0" xfId="0">
      <alignment horizontal="center" vertical="center"/>
    </xf>
    <xf numFmtId="9" fontId="11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164" fontId="14" fillId="3" borderId="0" applyAlignment="1" pivotButton="0" quotePrefix="0" xfId="0">
      <alignment horizontal="center" vertical="center"/>
    </xf>
    <xf numFmtId="9" fontId="14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164" fontId="17" fillId="3" borderId="0" applyAlignment="1" pivotButton="0" quotePrefix="0" xfId="0">
      <alignment horizontal="center" vertical="center"/>
    </xf>
    <xf numFmtId="9" fontId="17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164" fontId="21" fillId="3" borderId="0" applyAlignment="1" pivotButton="0" quotePrefix="0" xfId="0">
      <alignment horizontal="center" vertical="center"/>
    </xf>
    <xf numFmtId="164" fontId="22" fillId="3" borderId="0" applyAlignment="1" pivotButton="0" quotePrefix="0" xfId="0">
      <alignment horizontal="center" vertical="center"/>
    </xf>
    <xf numFmtId="164" fontId="23" fillId="3" borderId="0" applyAlignment="1" pivotButton="0" quotePrefix="0" xfId="0">
      <alignment horizontal="center" vertical="center"/>
    </xf>
    <xf numFmtId="9" fontId="20" fillId="3" borderId="0" applyAlignment="1" pivotButton="0" quotePrefix="0" xfId="0">
      <alignment horizontal="center" vertical="center"/>
    </xf>
    <xf numFmtId="164" fontId="24" fillId="3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29" fillId="4" borderId="0" applyAlignment="1" pivotButton="0" quotePrefix="0" xfId="0">
      <alignment horizontal="center" vertical="center"/>
    </xf>
    <xf numFmtId="164" fontId="30" fillId="3" borderId="0" applyAlignment="1" pivotButton="0" quotePrefix="0" xfId="0">
      <alignment horizontal="center" vertical="center"/>
    </xf>
    <xf numFmtId="164" fontId="31" fillId="3" borderId="0" applyAlignment="1" pivotButton="0" quotePrefix="0" xfId="0">
      <alignment horizontal="center" vertical="center"/>
    </xf>
    <xf numFmtId="164" fontId="32" fillId="3" borderId="0" applyAlignment="1" pivotButton="0" quotePrefix="0" xfId="0">
      <alignment horizontal="center" vertical="center"/>
    </xf>
    <xf numFmtId="164" fontId="33" fillId="3" borderId="0" applyAlignment="1" pivotButton="0" quotePrefix="0" xfId="0">
      <alignment horizontal="center" vertical="center"/>
    </xf>
    <xf numFmtId="9" fontId="34" fillId="3" borderId="0" applyAlignment="1" pivotButton="0" quotePrefix="0" xfId="0">
      <alignment horizontal="center" vertical="center"/>
    </xf>
    <xf numFmtId="164" fontId="35" fillId="3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64" fontId="36" fillId="5" borderId="0" applyAlignment="1" pivotButton="0" quotePrefix="0" xfId="0">
      <alignment horizontal="center" vertical="center"/>
    </xf>
    <xf numFmtId="164" fontId="37" fillId="5" borderId="0" applyAlignment="1" pivotButton="0" quotePrefix="0" xfId="0">
      <alignment horizontal="center" vertical="center"/>
    </xf>
    <xf numFmtId="164" fontId="38" fillId="5" borderId="0" applyAlignment="1" pivotButton="0" quotePrefix="0" xfId="0">
      <alignment horizontal="center" vertical="center"/>
    </xf>
    <xf numFmtId="164" fontId="39" fillId="5" borderId="0" applyAlignment="1" pivotButton="0" quotePrefix="0" xfId="0">
      <alignment horizontal="center" vertical="center"/>
    </xf>
    <xf numFmtId="0" fontId="40" fillId="5" borderId="0" applyAlignment="1" pivotButton="0" quotePrefix="0" xfId="0">
      <alignment horizontal="center" vertical="center"/>
    </xf>
    <xf numFmtId="164" fontId="36" fillId="2" borderId="0" applyAlignment="1" pivotButton="0" quotePrefix="0" xfId="0">
      <alignment horizontal="center" vertical="center"/>
    </xf>
    <xf numFmtId="164" fontId="37" fillId="2" borderId="0" applyAlignment="1" pivotButton="0" quotePrefix="0" xfId="0">
      <alignment horizontal="center" vertical="center"/>
    </xf>
    <xf numFmtId="164" fontId="38" fillId="2" borderId="0" applyAlignment="1" pivotButton="0" quotePrefix="0" xfId="0">
      <alignment horizontal="center" vertical="center"/>
    </xf>
    <xf numFmtId="164" fontId="39" fillId="2" borderId="0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name val="Calibri"/>
        <color rgb="00E05252"/>
        <sz val="11"/>
      </font>
      <fill>
        <patternFill patternType="solid">
          <fgColor rgb="003D1515"/>
        </patternFill>
      </fill>
    </dxf>
    <dxf>
      <font>
        <name val="Calibri"/>
        <color rgb="004CAF87"/>
        <sz val="11"/>
      </font>
      <fill>
        <patternFill patternType="solid">
          <fgColor rgb="000D2B1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Revenus vs Dépenses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'Data_Dash'!B1</f>
            </strRef>
          </tx>
          <spPr>
            <a:solidFill>
              <a:srgbClr val="5C7A6B"/>
            </a:solidFill>
            <a:ln>
              <a:prstDash val="solid"/>
            </a:ln>
          </spPr>
          <cat>
            <numRef>
              <f>'Data_Dash'!$A$2:$A$13</f>
            </numRef>
          </cat>
          <val>
            <numRef>
              <f>'Data_Dash'!$B$2:$B$13</f>
            </numRef>
          </val>
        </ser>
        <ser>
          <idx val="1"/>
          <order val="1"/>
          <tx>
            <strRef>
              <f>'Data_Dash'!C1</f>
            </strRef>
          </tx>
          <spPr>
            <a:solidFill>
              <a:srgbClr val="D4876B"/>
            </a:solidFill>
            <a:ln>
              <a:prstDash val="solid"/>
            </a:ln>
          </spPr>
          <cat>
            <numRef>
              <f>'Data_Dash'!$A$2:$A$13</f>
            </numRef>
          </cat>
          <val>
            <numRef>
              <f>'Data_Dash'!$C$2:$C$13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Montant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'Data_Dash'!H16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4876B"/>
              </a:solidFill>
              <a:ln>
                <a:prstDash val="solid"/>
              </a:ln>
            </spPr>
          </dPt>
          <dPt>
            <idx val="1"/>
            <spPr>
              <a:solidFill>
                <a:srgbClr val="E2B96F"/>
              </a:solidFill>
              <a:ln>
                <a:prstDash val="solid"/>
              </a:ln>
            </spPr>
          </dPt>
          <dPt>
            <idx val="2"/>
            <spPr>
              <a:solidFill>
                <a:srgbClr val="4ECDC4"/>
              </a:solidFill>
              <a:ln>
                <a:prstDash val="solid"/>
              </a:ln>
            </spPr>
          </dPt>
          <dPt>
            <idx val="3"/>
            <spPr>
              <a:solidFill>
                <a:srgbClr val="FF6B9D"/>
              </a:solidFill>
              <a:ln>
                <a:prstDash val="solid"/>
              </a:ln>
            </spPr>
          </dPt>
          <cat>
            <numRef>
              <f>'Data_Dash'!$G$17:$G$20</f>
            </numRef>
          </cat>
          <val>
            <numRef>
              <f>'Data_Dash'!$H$17:$H$20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2B96F"/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55" customWidth="1" min="3" max="3"/>
  </cols>
  <sheetData>
    <row r="1">
      <c r="A1" s="1" t="n"/>
      <c r="B1" s="1" t="n"/>
      <c r="C1" s="1" t="n"/>
    </row>
    <row r="2" ht="50" customHeight="1">
      <c r="A2" s="1" t="n"/>
      <c r="B2" s="2" t="inlineStr">
        <is>
          <t>✦  BUDGET PRO  ✦</t>
        </is>
      </c>
    </row>
    <row r="3" ht="20" customHeight="1">
      <c r="A3" s="1" t="n"/>
      <c r="B3" s="3" t="inlineStr">
        <is>
          <t>Votre tracker financier personnel — élégant, intelligent, efficace</t>
        </is>
      </c>
    </row>
    <row r="4">
      <c r="A4" s="1" t="n"/>
      <c r="B4" s="1" t="n"/>
      <c r="C4" s="1" t="n"/>
    </row>
    <row r="5" ht="20" customHeight="1">
      <c r="A5" s="1" t="n"/>
      <c r="B5" s="4" t="inlineStr"/>
      <c r="C5" s="5" t="inlineStr"/>
    </row>
    <row r="6" ht="20" customHeight="1">
      <c r="A6" s="1" t="n"/>
      <c r="B6" s="5" t="inlineStr">
        <is>
          <t>🚀 DÉMARRAGE RAPIDE</t>
        </is>
      </c>
      <c r="C6" s="5" t="inlineStr"/>
    </row>
    <row r="7" ht="20" customHeight="1">
      <c r="A7" s="1" t="n"/>
      <c r="B7" s="4" t="inlineStr">
        <is>
          <t>1.</t>
        </is>
      </c>
      <c r="C7" s="6" t="inlineStr">
        <is>
          <t>Ouvre l'onglet du mois en cours (ex: Janvier)</t>
        </is>
      </c>
    </row>
    <row r="8" ht="20" customHeight="1">
      <c r="A8" s="1" t="n"/>
      <c r="B8" s="4" t="inlineStr">
        <is>
          <t>2.</t>
        </is>
      </c>
      <c r="C8" s="6" t="inlineStr">
        <is>
          <t>Saisis tes budgets prévus en colonne B pour chaque catégorie</t>
        </is>
      </c>
    </row>
    <row r="9" ht="20" customHeight="1">
      <c r="A9" s="1" t="n"/>
      <c r="B9" s="4" t="inlineStr">
        <is>
          <t>3.</t>
        </is>
      </c>
      <c r="C9" s="6" t="inlineStr">
        <is>
          <t>Chaque semaine, mets à jour la colonne C avec les montants réels</t>
        </is>
      </c>
    </row>
    <row r="10" ht="20" customHeight="1">
      <c r="A10" s="1" t="n"/>
      <c r="B10" s="4" t="inlineStr">
        <is>
          <t>4.</t>
        </is>
      </c>
      <c r="C10" s="6" t="inlineStr">
        <is>
          <t>Les colonnes D, E, F et G se calculent automatiquement</t>
        </is>
      </c>
    </row>
    <row r="11" ht="20" customHeight="1">
      <c r="A11" s="1" t="n"/>
      <c r="B11" s="4" t="inlineStr"/>
      <c r="C11" s="5" t="inlineStr"/>
    </row>
    <row r="12" ht="20" customHeight="1">
      <c r="A12" s="1" t="n"/>
      <c r="B12" s="5" t="inlineStr">
        <is>
          <t>🎨 CODE COULEURS</t>
        </is>
      </c>
      <c r="C12" s="5" t="inlineStr"/>
    </row>
    <row r="13" ht="20" customHeight="1">
      <c r="A13" s="1" t="n"/>
      <c r="B13" s="4" t="inlineStr">
        <is>
          <t>🟢</t>
        </is>
      </c>
      <c r="C13" s="6" t="inlineStr">
        <is>
          <t>Moins de 80% du budget utilisé — tu gères !</t>
        </is>
      </c>
    </row>
    <row r="14" ht="20" customHeight="1">
      <c r="A14" s="1" t="n"/>
      <c r="B14" s="4" t="inlineStr">
        <is>
          <t>🟡</t>
        </is>
      </c>
      <c r="C14" s="6" t="inlineStr">
        <is>
          <t>Entre 80% et 100% — sois vigilant(e)</t>
        </is>
      </c>
    </row>
    <row r="15" ht="20" customHeight="1">
      <c r="A15" s="1" t="n"/>
      <c r="B15" s="4" t="inlineStr">
        <is>
          <t>🔴</t>
        </is>
      </c>
      <c r="C15" s="6" t="inlineStr">
        <is>
          <t>Budget dépassé — action requise</t>
        </is>
      </c>
    </row>
    <row r="16" ht="20" customHeight="1">
      <c r="A16" s="1" t="n"/>
      <c r="B16" s="4" t="inlineStr">
        <is>
          <t>⬜</t>
        </is>
      </c>
      <c r="C16" s="6" t="inlineStr">
        <is>
          <t>Rien de saisi</t>
        </is>
      </c>
    </row>
    <row r="17" ht="20" customHeight="1">
      <c r="A17" s="1" t="n"/>
      <c r="B17" s="4" t="inlineStr"/>
      <c r="C17" s="5" t="inlineStr"/>
    </row>
    <row r="18" ht="20" customHeight="1">
      <c r="A18" s="1" t="n"/>
      <c r="B18" s="5" t="inlineStr">
        <is>
          <t>📊 SECTIONS DU MOIS</t>
        </is>
      </c>
      <c r="C18" s="5" t="inlineStr"/>
    </row>
    <row r="19" ht="20" customHeight="1">
      <c r="A19" s="1" t="n"/>
      <c r="B19" s="4" t="inlineStr">
        <is>
          <t>💰</t>
        </is>
      </c>
      <c r="C19" s="6" t="inlineStr">
        <is>
          <t>REVENUS — tous tes revenus du mois</t>
        </is>
      </c>
    </row>
    <row r="20" ht="20" customHeight="1">
      <c r="A20" s="1" t="n"/>
      <c r="B20" s="4" t="inlineStr">
        <is>
          <t>🏠</t>
        </is>
      </c>
      <c r="C20" s="6" t="inlineStr">
        <is>
          <t>DÉPENSES FIXES — charges incompressibles</t>
        </is>
      </c>
    </row>
    <row r="21" ht="20" customHeight="1">
      <c r="A21" s="1" t="n"/>
      <c r="B21" s="4" t="inlineStr">
        <is>
          <t>🛒</t>
        </is>
      </c>
      <c r="C21" s="6" t="inlineStr">
        <is>
          <t>DÉPENSES VARIABLES — dépenses du quotidien</t>
        </is>
      </c>
    </row>
    <row r="22" ht="20" customHeight="1">
      <c r="A22" s="1" t="n"/>
      <c r="B22" s="4" t="inlineStr">
        <is>
          <t>💳</t>
        </is>
      </c>
      <c r="C22" s="6" t="inlineStr">
        <is>
          <t>CRÉDITS — remboursements en cours</t>
        </is>
      </c>
    </row>
    <row r="23" ht="20" customHeight="1">
      <c r="A23" s="1" t="n"/>
      <c r="B23" s="4" t="inlineStr">
        <is>
          <t>🏦</t>
        </is>
      </c>
      <c r="C23" s="6" t="inlineStr">
        <is>
          <t>ÉPARGNE — ce que tu mets de côté</t>
        </is>
      </c>
    </row>
    <row r="24" ht="20" customHeight="1">
      <c r="A24" s="1" t="n"/>
      <c r="B24" s="4" t="inlineStr"/>
      <c r="C24" s="5" t="inlineStr"/>
    </row>
    <row r="25" ht="20" customHeight="1">
      <c r="A25" s="1" t="n"/>
      <c r="B25" s="4" t="inlineStr">
        <is>
          <t>📈 DASHBOARD</t>
        </is>
      </c>
      <c r="C25" s="6" t="inlineStr">
        <is>
          <t>Onglet récapitulatif annuel — graphiques et KPIs générés automatiquement</t>
        </is>
      </c>
    </row>
    <row r="26" ht="20" customHeight="1">
      <c r="A26" s="1" t="n"/>
      <c r="B26" s="4" t="inlineStr"/>
      <c r="C26" s="5" t="inlineStr"/>
    </row>
    <row r="27" ht="20" customHeight="1">
      <c r="A27" s="1" t="n"/>
      <c r="B27" s="4" t="inlineStr">
        <is>
          <t>💡 ASTUCE</t>
        </is>
      </c>
      <c r="C27" s="6" t="inlineStr">
        <is>
          <t>Personnalise les noms de catégories directement dans les cellules</t>
        </is>
      </c>
    </row>
    <row r="28">
      <c r="A28" s="1" t="n"/>
      <c r="B28" s="1" t="n"/>
      <c r="C28" s="1" t="n"/>
    </row>
    <row r="29">
      <c r="A29" s="1" t="n"/>
      <c r="B29" s="1" t="n"/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  <row r="40">
      <c r="A40" s="1" t="n"/>
      <c r="B40" s="1" t="n"/>
      <c r="C40" s="1" t="n"/>
    </row>
    <row r="41">
      <c r="A41" s="1" t="n"/>
      <c r="B41" s="1" t="n"/>
      <c r="C41" s="1" t="n"/>
    </row>
    <row r="42">
      <c r="A42" s="1" t="n"/>
      <c r="B42" s="1" t="n"/>
      <c r="C42" s="1" t="n"/>
    </row>
    <row r="43">
      <c r="A43" s="1" t="n"/>
      <c r="B43" s="1" t="n"/>
      <c r="C43" s="1" t="n"/>
    </row>
    <row r="44">
      <c r="A44" s="1" t="n"/>
      <c r="B44" s="1" t="n"/>
      <c r="C44" s="1" t="n"/>
    </row>
    <row r="45">
      <c r="A45" s="1" t="n"/>
      <c r="B45" s="1" t="n"/>
      <c r="C45" s="1" t="n"/>
    </row>
    <row r="46">
      <c r="A46" s="1" t="n"/>
      <c r="B46" s="1" t="n"/>
      <c r="C46" s="1" t="n"/>
    </row>
    <row r="47">
      <c r="A47" s="1" t="n"/>
      <c r="B47" s="1" t="n"/>
      <c r="C47" s="1" t="n"/>
    </row>
    <row r="48">
      <c r="A48" s="1" t="n"/>
      <c r="B48" s="1" t="n"/>
      <c r="C48" s="1" t="n"/>
    </row>
    <row r="49">
      <c r="A49" s="1" t="n"/>
      <c r="B49" s="1" t="n"/>
      <c r="C49" s="1" t="n"/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JANVIER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FÉVRIER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MARS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AVRIL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MAI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JUIN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JUILLET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AOÛT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SEPTEMBRE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OCTOBRE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NOVEMBRE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F3460"/>
    <outlinePr summaryBelow="1" summaryRight="1"/>
    <pageSetUpPr/>
  </sheetPr>
  <dimension ref="A1:G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2" customWidth="1" min="6" max="6"/>
    <col width="5" customWidth="1" min="7" max="7"/>
  </cols>
  <sheetData>
    <row r="1" ht="36" customHeight="1">
      <c r="A1" s="7" t="inlineStr">
        <is>
          <t>✦  DÉCEMBRE  ✦</t>
        </is>
      </c>
    </row>
    <row r="2" ht="24" customHeight="1">
      <c r="A2" s="8" t="inlineStr">
        <is>
          <t>Catégorie</t>
        </is>
      </c>
      <c r="B2" s="8" t="inlineStr">
        <is>
          <t>Budget prévu</t>
        </is>
      </c>
      <c r="C2" s="8" t="inlineStr">
        <is>
          <t>Réel dépensé</t>
        </is>
      </c>
      <c r="D2" s="8" t="inlineStr">
        <is>
          <t>Écart</t>
        </is>
      </c>
      <c r="E2" s="8" t="inlineStr">
        <is>
          <t>% utilisé</t>
        </is>
      </c>
      <c r="F2" s="8" t="inlineStr">
        <is>
          <t>Progression</t>
        </is>
      </c>
      <c r="G2" s="8" t="inlineStr"/>
    </row>
    <row r="3" ht="22" customHeight="1">
      <c r="A3" s="9" t="inlineStr">
        <is>
          <t>💰 REVENUS</t>
        </is>
      </c>
    </row>
    <row r="4" ht="20" customHeight="1">
      <c r="A4" s="10" t="inlineStr">
        <is>
          <t>Salaire net</t>
        </is>
      </c>
      <c r="B4" s="11" t="n">
        <v>0</v>
      </c>
      <c r="C4" s="11" t="n">
        <v>0</v>
      </c>
      <c r="D4" s="11">
        <f>B4-C4</f>
        <v/>
      </c>
      <c r="E4" s="12">
        <f>IF(B4=0,"—",C4/B4)</f>
        <v/>
      </c>
      <c r="F4" s="13">
        <f>IF(B4=0,"",REPT("▓",MIN(20,INT(C4/B4*20)))&amp;REPT("░",MAX(0,20-MIN(20,INT(C4/B4*20)))))</f>
        <v/>
      </c>
      <c r="G4" s="14">
        <f>IF(C4=0,"⬜",IF(C4/B4&lt;0.8,"🟢",IF(C4/B4&lt;=1,"🟡","🔴")))</f>
        <v/>
      </c>
    </row>
    <row r="5" ht="20" customHeight="1">
      <c r="A5" s="6" t="inlineStr">
        <is>
          <t>Freelance / Side</t>
        </is>
      </c>
      <c r="B5" s="15" t="n">
        <v>0</v>
      </c>
      <c r="C5" s="15" t="n">
        <v>0</v>
      </c>
      <c r="D5" s="15">
        <f>B5-C5</f>
        <v/>
      </c>
      <c r="E5" s="16">
        <f>IF(B5=0,"—",C5/B5)</f>
        <v/>
      </c>
      <c r="F5" s="17">
        <f>IF(B5=0,"",REPT("▓",MIN(20,INT(C5/B5*20)))&amp;REPT("░",MAX(0,20-MIN(20,INT(C5/B5*20)))))</f>
        <v/>
      </c>
      <c r="G5" s="18">
        <f>IF(C5=0,"⬜",IF(C5/B5&lt;0.8,"🟢",IF(C5/B5&lt;=1,"🟡","🔴")))</f>
        <v/>
      </c>
    </row>
    <row r="6" ht="20" customHeight="1">
      <c r="A6" s="10" t="inlineStr">
        <is>
          <t>Aides / APL</t>
        </is>
      </c>
      <c r="B6" s="11" t="n">
        <v>0</v>
      </c>
      <c r="C6" s="11" t="n">
        <v>0</v>
      </c>
      <c r="D6" s="11">
        <f>B6-C6</f>
        <v/>
      </c>
      <c r="E6" s="12">
        <f>IF(B6=0,"—",C6/B6)</f>
        <v/>
      </c>
      <c r="F6" s="13">
        <f>IF(B6=0,"",REPT("▓",MIN(20,INT(C6/B6*20)))&amp;REPT("░",MAX(0,20-MIN(20,INT(C6/B6*20)))))</f>
        <v/>
      </c>
      <c r="G6" s="14">
        <f>IF(C6=0,"⬜",IF(C6/B6&lt;0.8,"🟢",IF(C6/B6&lt;=1,"🟡","🔴")))</f>
        <v/>
      </c>
    </row>
    <row r="7" ht="20" customHeight="1">
      <c r="A7" s="6" t="inlineStr">
        <is>
          <t>Autres revenus</t>
        </is>
      </c>
      <c r="B7" s="15" t="n">
        <v>0</v>
      </c>
      <c r="C7" s="15" t="n">
        <v>0</v>
      </c>
      <c r="D7" s="15">
        <f>B7-C7</f>
        <v/>
      </c>
      <c r="E7" s="16">
        <f>IF(B7=0,"—",C7/B7)</f>
        <v/>
      </c>
      <c r="F7" s="17">
        <f>IF(B7=0,"",REPT("▓",MIN(20,INT(C7/B7*20)))&amp;REPT("░",MAX(0,20-MIN(20,INT(C7/B7*20)))))</f>
        <v/>
      </c>
      <c r="G7" s="18">
        <f>IF(C7=0,"⬜",IF(C7/B7&lt;0.8,"🟢",IF(C7/B7&lt;=1,"🟡","🔴")))</f>
        <v/>
      </c>
    </row>
    <row r="8" ht="22" customHeight="1">
      <c r="A8" s="19" t="inlineStr">
        <is>
          <t xml:space="preserve">  Total Revenus</t>
        </is>
      </c>
      <c r="B8" s="20">
        <f>SUM(B4:B7)</f>
        <v/>
      </c>
      <c r="C8" s="20">
        <f>SUM(C4:C7)</f>
        <v/>
      </c>
      <c r="D8" s="20">
        <f>SUM(D4:D7)</f>
        <v/>
      </c>
      <c r="E8" s="21">
        <f>IF(B8=0,0,C8/B8)</f>
        <v/>
      </c>
      <c r="F8" s="22">
        <f>IF(B8=0,"",REPT("▓",MIN(20,INT(C8/B8*20)))&amp;REPT("░",MAX(0,20-MIN(20,INT(C8/B8*20)))))</f>
        <v/>
      </c>
      <c r="G8" s="23" t="n"/>
    </row>
    <row r="9">
      <c r="A9" s="1" t="n"/>
      <c r="B9" s="1" t="n"/>
      <c r="C9" s="1" t="n"/>
      <c r="D9" s="1" t="n"/>
      <c r="E9" s="1" t="n"/>
      <c r="F9" s="1" t="n"/>
      <c r="G9" s="1" t="n"/>
    </row>
    <row r="10" ht="22" customHeight="1">
      <c r="A10" s="24" t="inlineStr">
        <is>
          <t>🏠 DÉPENSES FIXES</t>
        </is>
      </c>
    </row>
    <row r="11" ht="20" customHeight="1">
      <c r="A11" s="6" t="inlineStr">
        <is>
          <t>Loyer / Crédit immo</t>
        </is>
      </c>
      <c r="B11" s="15" t="n">
        <v>0</v>
      </c>
      <c r="C11" s="15" t="n">
        <v>0</v>
      </c>
      <c r="D11" s="15">
        <f>B11-C11</f>
        <v/>
      </c>
      <c r="E11" s="16">
        <f>IF(B11=0,"—",C11/B11)</f>
        <v/>
      </c>
      <c r="F11" s="25">
        <f>IF(B11=0,"",REPT("▓",MIN(20,INT(C11/B11*20)))&amp;REPT("░",MAX(0,20-MIN(20,INT(C11/B11*20)))))</f>
        <v/>
      </c>
      <c r="G11" s="18">
        <f>IF(C11=0,"⬜",IF(C11/B11&lt;0.8,"🟢",IF(C11/B11&lt;=1,"🟡","🔴")))</f>
        <v/>
      </c>
    </row>
    <row r="12" ht="20" customHeight="1">
      <c r="A12" s="10" t="inlineStr">
        <is>
          <t>Assurances</t>
        </is>
      </c>
      <c r="B12" s="11" t="n">
        <v>0</v>
      </c>
      <c r="C12" s="11" t="n">
        <v>0</v>
      </c>
      <c r="D12" s="11">
        <f>B12-C12</f>
        <v/>
      </c>
      <c r="E12" s="12">
        <f>IF(B12=0,"—",C12/B12)</f>
        <v/>
      </c>
      <c r="F12" s="26">
        <f>IF(B12=0,"",REPT("▓",MIN(20,INT(C12/B12*20)))&amp;REPT("░",MAX(0,20-MIN(20,INT(C12/B12*20)))))</f>
        <v/>
      </c>
      <c r="G12" s="14">
        <f>IF(C12=0,"⬜",IF(C12/B12&lt;0.8,"🟢",IF(C12/B12&lt;=1,"🟡","🔴")))</f>
        <v/>
      </c>
    </row>
    <row r="13" ht="20" customHeight="1">
      <c r="A13" s="6" t="inlineStr">
        <is>
          <t>Abonnements</t>
        </is>
      </c>
      <c r="B13" s="15" t="n">
        <v>0</v>
      </c>
      <c r="C13" s="15" t="n">
        <v>0</v>
      </c>
      <c r="D13" s="15">
        <f>B13-C13</f>
        <v/>
      </c>
      <c r="E13" s="16">
        <f>IF(B13=0,"—",C13/B13)</f>
        <v/>
      </c>
      <c r="F13" s="25">
        <f>IF(B13=0,"",REPT("▓",MIN(20,INT(C13/B13*20)))&amp;REPT("░",MAX(0,20-MIN(20,INT(C13/B13*20)))))</f>
        <v/>
      </c>
      <c r="G13" s="18">
        <f>IF(C13=0,"⬜",IF(C13/B13&lt;0.8,"🟢",IF(C13/B13&lt;=1,"🟡","🔴")))</f>
        <v/>
      </c>
    </row>
    <row r="14" ht="20" customHeight="1">
      <c r="A14" s="10" t="inlineStr">
        <is>
          <t>Téléphone / Internet</t>
        </is>
      </c>
      <c r="B14" s="11" t="n">
        <v>0</v>
      </c>
      <c r="C14" s="11" t="n">
        <v>0</v>
      </c>
      <c r="D14" s="11">
        <f>B14-C14</f>
        <v/>
      </c>
      <c r="E14" s="12">
        <f>IF(B14=0,"—",C14/B14)</f>
        <v/>
      </c>
      <c r="F14" s="26">
        <f>IF(B14=0,"",REPT("▓",MIN(20,INT(C14/B14*20)))&amp;REPT("░",MAX(0,20-MIN(20,INT(C14/B14*20)))))</f>
        <v/>
      </c>
      <c r="G14" s="14">
        <f>IF(C14=0,"⬜",IF(C14/B14&lt;0.8,"🟢",IF(C14/B14&lt;=1,"🟡","🔴")))</f>
        <v/>
      </c>
    </row>
    <row r="15" ht="22" customHeight="1">
      <c r="A15" s="27" t="inlineStr">
        <is>
          <t xml:space="preserve">  Total Fixes</t>
        </is>
      </c>
      <c r="B15" s="28">
        <f>SUM(B11:B14)</f>
        <v/>
      </c>
      <c r="C15" s="28">
        <f>SUM(C11:C14)</f>
        <v/>
      </c>
      <c r="D15" s="28">
        <f>SUM(D11:D14)</f>
        <v/>
      </c>
      <c r="E15" s="29">
        <f>IF(B15=0,0,C15/B15)</f>
        <v/>
      </c>
      <c r="F15" s="30">
        <f>IF(B15=0,"",REPT("▓",MIN(20,INT(C15/B15*20)))&amp;REPT("░",MAX(0,20-MIN(20,INT(C15/B15*20)))))</f>
        <v/>
      </c>
      <c r="G15" s="23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 ht="22" customHeight="1">
      <c r="A17" s="31" t="inlineStr">
        <is>
          <t>🛒 DÉPENSES VARIABLES</t>
        </is>
      </c>
    </row>
    <row r="18" ht="20" customHeight="1">
      <c r="A18" s="10" t="inlineStr">
        <is>
          <t>Alimentation</t>
        </is>
      </c>
      <c r="B18" s="11" t="n">
        <v>0</v>
      </c>
      <c r="C18" s="11" t="n">
        <v>0</v>
      </c>
      <c r="D18" s="11">
        <f>B18-C18</f>
        <v/>
      </c>
      <c r="E18" s="12">
        <f>IF(B18=0,"—",C18/B18)</f>
        <v/>
      </c>
      <c r="F18" s="32">
        <f>IF(B18=0,"",REPT("▓",MIN(20,INT(C18/B18*20)))&amp;REPT("░",MAX(0,20-MIN(20,INT(C18/B18*20)))))</f>
        <v/>
      </c>
      <c r="G18" s="14">
        <f>IF(C18=0,"⬜",IF(C18/B18&lt;0.8,"🟢",IF(C18/B18&lt;=1,"🟡","🔴")))</f>
        <v/>
      </c>
    </row>
    <row r="19" ht="20" customHeight="1">
      <c r="A19" s="6" t="inlineStr">
        <is>
          <t>Transport</t>
        </is>
      </c>
      <c r="B19" s="15" t="n">
        <v>0</v>
      </c>
      <c r="C19" s="15" t="n">
        <v>0</v>
      </c>
      <c r="D19" s="15">
        <f>B19-C19</f>
        <v/>
      </c>
      <c r="E19" s="16">
        <f>IF(B19=0,"—",C19/B19)</f>
        <v/>
      </c>
      <c r="F19" s="33">
        <f>IF(B19=0,"",REPT("▓",MIN(20,INT(C19/B19*20)))&amp;REPT("░",MAX(0,20-MIN(20,INT(C19/B19*20)))))</f>
        <v/>
      </c>
      <c r="G19" s="18">
        <f>IF(C19=0,"⬜",IF(C19/B19&lt;0.8,"🟢",IF(C19/B19&lt;=1,"🟡","🔴")))</f>
        <v/>
      </c>
    </row>
    <row r="20" ht="20" customHeight="1">
      <c r="A20" s="10" t="inlineStr">
        <is>
          <t>Santé</t>
        </is>
      </c>
      <c r="B20" s="11" t="n">
        <v>0</v>
      </c>
      <c r="C20" s="11" t="n">
        <v>0</v>
      </c>
      <c r="D20" s="11">
        <f>B20-C20</f>
        <v/>
      </c>
      <c r="E20" s="12">
        <f>IF(B20=0,"—",C20/B20)</f>
        <v/>
      </c>
      <c r="F20" s="32">
        <f>IF(B20=0,"",REPT("▓",MIN(20,INT(C20/B20*20)))&amp;REPT("░",MAX(0,20-MIN(20,INT(C20/B20*20)))))</f>
        <v/>
      </c>
      <c r="G20" s="14">
        <f>IF(C20=0,"⬜",IF(C20/B20&lt;0.8,"🟢",IF(C20/B20&lt;=1,"🟡","🔴")))</f>
        <v/>
      </c>
    </row>
    <row r="21" ht="20" customHeight="1">
      <c r="A21" s="6" t="inlineStr">
        <is>
          <t>Loisirs</t>
        </is>
      </c>
      <c r="B21" s="15" t="n">
        <v>0</v>
      </c>
      <c r="C21" s="15" t="n">
        <v>0</v>
      </c>
      <c r="D21" s="15">
        <f>B21-C21</f>
        <v/>
      </c>
      <c r="E21" s="16">
        <f>IF(B21=0,"—",C21/B21)</f>
        <v/>
      </c>
      <c r="F21" s="33">
        <f>IF(B21=0,"",REPT("▓",MIN(20,INT(C21/B21*20)))&amp;REPT("░",MAX(0,20-MIN(20,INT(C21/B21*20)))))</f>
        <v/>
      </c>
      <c r="G21" s="18">
        <f>IF(C21=0,"⬜",IF(C21/B21&lt;0.8,"🟢",IF(C21/B21&lt;=1,"🟡","🔴")))</f>
        <v/>
      </c>
    </row>
    <row r="22" ht="20" customHeight="1">
      <c r="A22" s="10" t="inlineStr">
        <is>
          <t>Shopping</t>
        </is>
      </c>
      <c r="B22" s="11" t="n">
        <v>0</v>
      </c>
      <c r="C22" s="11" t="n">
        <v>0</v>
      </c>
      <c r="D22" s="11">
        <f>B22-C22</f>
        <v/>
      </c>
      <c r="E22" s="12">
        <f>IF(B22=0,"—",C22/B22)</f>
        <v/>
      </c>
      <c r="F22" s="32">
        <f>IF(B22=0,"",REPT("▓",MIN(20,INT(C22/B22*20)))&amp;REPT("░",MAX(0,20-MIN(20,INT(C22/B22*20)))))</f>
        <v/>
      </c>
      <c r="G22" s="14">
        <f>IF(C22=0,"⬜",IF(C22/B22&lt;0.8,"🟢",IF(C22/B22&lt;=1,"🟡","🔴")))</f>
        <v/>
      </c>
    </row>
    <row r="23" ht="20" customHeight="1">
      <c r="A23" s="6" t="inlineStr">
        <is>
          <t>Restaurant</t>
        </is>
      </c>
      <c r="B23" s="15" t="n">
        <v>0</v>
      </c>
      <c r="C23" s="15" t="n">
        <v>0</v>
      </c>
      <c r="D23" s="15">
        <f>B23-C23</f>
        <v/>
      </c>
      <c r="E23" s="16">
        <f>IF(B23=0,"—",C23/B23)</f>
        <v/>
      </c>
      <c r="F23" s="33">
        <f>IF(B23=0,"",REPT("▓",MIN(20,INT(C23/B23*20)))&amp;REPT("░",MAX(0,20-MIN(20,INT(C23/B23*20)))))</f>
        <v/>
      </c>
      <c r="G23" s="18">
        <f>IF(C23=0,"⬜",IF(C23/B23&lt;0.8,"🟢",IF(C23/B23&lt;=1,"🟡","🔴")))</f>
        <v/>
      </c>
    </row>
    <row r="24" ht="20" customHeight="1">
      <c r="A24" s="10" t="inlineStr">
        <is>
          <t>Beauté</t>
        </is>
      </c>
      <c r="B24" s="11" t="n">
        <v>0</v>
      </c>
      <c r="C24" s="11" t="n">
        <v>0</v>
      </c>
      <c r="D24" s="11">
        <f>B24-C24</f>
        <v/>
      </c>
      <c r="E24" s="12">
        <f>IF(B24=0,"—",C24/B24)</f>
        <v/>
      </c>
      <c r="F24" s="32">
        <f>IF(B24=0,"",REPT("▓",MIN(20,INT(C24/B24*20)))&amp;REPT("░",MAX(0,20-MIN(20,INT(C24/B24*20)))))</f>
        <v/>
      </c>
      <c r="G24" s="14">
        <f>IF(C24=0,"⬜",IF(C24/B24&lt;0.8,"🟢",IF(C24/B24&lt;=1,"🟡","🔴")))</f>
        <v/>
      </c>
    </row>
    <row r="25" ht="20" customHeight="1">
      <c r="A25" s="6" t="inlineStr">
        <is>
          <t>Autre</t>
        </is>
      </c>
      <c r="B25" s="15" t="n">
        <v>0</v>
      </c>
      <c r="C25" s="15" t="n">
        <v>0</v>
      </c>
      <c r="D25" s="15">
        <f>B25-C25</f>
        <v/>
      </c>
      <c r="E25" s="16">
        <f>IF(B25=0,"—",C25/B25)</f>
        <v/>
      </c>
      <c r="F25" s="33">
        <f>IF(B25=0,"",REPT("▓",MIN(20,INT(C25/B25*20)))&amp;REPT("░",MAX(0,20-MIN(20,INT(C25/B25*20)))))</f>
        <v/>
      </c>
      <c r="G25" s="18">
        <f>IF(C25=0,"⬜",IF(C25/B25&lt;0.8,"🟢",IF(C25/B25&lt;=1,"🟡","🔴")))</f>
        <v/>
      </c>
    </row>
    <row r="26" ht="22" customHeight="1">
      <c r="A26" s="34" t="inlineStr">
        <is>
          <t xml:space="preserve">  Total Variables</t>
        </is>
      </c>
      <c r="B26" s="35">
        <f>SUM(B18:B25)</f>
        <v/>
      </c>
      <c r="C26" s="35">
        <f>SUM(C18:C25)</f>
        <v/>
      </c>
      <c r="D26" s="35">
        <f>SUM(D18:D25)</f>
        <v/>
      </c>
      <c r="E26" s="36">
        <f>IF(B26=0,0,C26/B26)</f>
        <v/>
      </c>
      <c r="F26" s="37">
        <f>IF(B26=0,"",REPT("▓",MIN(20,INT(C26/B26*20)))&amp;REPT("░",MAX(0,20-MIN(20,INT(C26/B26*20)))))</f>
        <v/>
      </c>
      <c r="G26" s="23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 ht="22" customHeight="1">
      <c r="A28" s="38" t="inlineStr">
        <is>
          <t>💳 CRÉDITS</t>
        </is>
      </c>
    </row>
    <row r="29" ht="20" customHeight="1">
      <c r="A29" s="6" t="inlineStr">
        <is>
          <t>Crédit auto</t>
        </is>
      </c>
      <c r="B29" s="15" t="n">
        <v>0</v>
      </c>
      <c r="C29" s="15" t="n">
        <v>0</v>
      </c>
      <c r="D29" s="15">
        <f>B29-C29</f>
        <v/>
      </c>
      <c r="E29" s="16">
        <f>IF(B29=0,"—",C29/B29)</f>
        <v/>
      </c>
      <c r="F29" s="39">
        <f>IF(B29=0,"",REPT("▓",MIN(20,INT(C29/B29*20)))&amp;REPT("░",MAX(0,20-MIN(20,INT(C29/B29*20)))))</f>
        <v/>
      </c>
      <c r="G29" s="18">
        <f>IF(C29=0,"⬜",IF(C29/B29&lt;0.8,"🟢",IF(C29/B29&lt;=1,"🟡","🔴")))</f>
        <v/>
      </c>
    </row>
    <row r="30" ht="20" customHeight="1">
      <c r="A30" s="10" t="inlineStr">
        <is>
          <t>Crédit conso</t>
        </is>
      </c>
      <c r="B30" s="11" t="n">
        <v>0</v>
      </c>
      <c r="C30" s="11" t="n">
        <v>0</v>
      </c>
      <c r="D30" s="11">
        <f>B30-C30</f>
        <v/>
      </c>
      <c r="E30" s="12">
        <f>IF(B30=0,"—",C30/B30)</f>
        <v/>
      </c>
      <c r="F30" s="40">
        <f>IF(B30=0,"",REPT("▓",MIN(20,INT(C30/B30*20)))&amp;REPT("░",MAX(0,20-MIN(20,INT(C30/B30*20)))))</f>
        <v/>
      </c>
      <c r="G30" s="14">
        <f>IF(C30=0,"⬜",IF(C30/B30&lt;0.8,"🟢",IF(C30/B30&lt;=1,"🟡","🔴")))</f>
        <v/>
      </c>
    </row>
    <row r="31" ht="20" customHeight="1">
      <c r="A31" s="6" t="inlineStr">
        <is>
          <t>Autre crédit</t>
        </is>
      </c>
      <c r="B31" s="15" t="n">
        <v>0</v>
      </c>
      <c r="C31" s="15" t="n">
        <v>0</v>
      </c>
      <c r="D31" s="15">
        <f>B31-C31</f>
        <v/>
      </c>
      <c r="E31" s="16">
        <f>IF(B31=0,"—",C31/B31)</f>
        <v/>
      </c>
      <c r="F31" s="39">
        <f>IF(B31=0,"",REPT("▓",MIN(20,INT(C31/B31*20)))&amp;REPT("░",MAX(0,20-MIN(20,INT(C31/B31*20)))))</f>
        <v/>
      </c>
      <c r="G31" s="18">
        <f>IF(C31=0,"⬜",IF(C31/B31&lt;0.8,"🟢",IF(C31/B31&lt;=1,"🟡","🔴")))</f>
        <v/>
      </c>
    </row>
    <row r="32" ht="22" customHeight="1">
      <c r="A32" s="41" t="inlineStr">
        <is>
          <t xml:space="preserve">  Total Crédits</t>
        </is>
      </c>
      <c r="B32" s="42">
        <f>SUM(B29:B31)</f>
        <v/>
      </c>
      <c r="C32" s="42">
        <f>SUM(C29:C31)</f>
        <v/>
      </c>
      <c r="D32" s="42">
        <f>SUM(D29:D31)</f>
        <v/>
      </c>
      <c r="E32" s="43">
        <f>IF(B32=0,0,C32/B32)</f>
        <v/>
      </c>
      <c r="F32" s="44">
        <f>IF(B32=0,"",REPT("▓",MIN(20,INT(C32/B32*20)))&amp;REPT("░",MAX(0,20-MIN(20,INT(C32/B32*20)))))</f>
        <v/>
      </c>
      <c r="G32" s="23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 ht="22" customHeight="1">
      <c r="A34" s="45" t="inlineStr">
        <is>
          <t>🏦 ÉPARGNE</t>
        </is>
      </c>
    </row>
    <row r="35" ht="20" customHeight="1">
      <c r="A35" s="6" t="inlineStr">
        <is>
          <t>Livret A</t>
        </is>
      </c>
      <c r="B35" s="15" t="n">
        <v>0</v>
      </c>
      <c r="C35" s="15" t="n">
        <v>0</v>
      </c>
      <c r="D35" s="15">
        <f>B35-C35</f>
        <v/>
      </c>
      <c r="E35" s="16">
        <f>IF(B35=0,"—",C35/B35)</f>
        <v/>
      </c>
      <c r="F35" s="46">
        <f>IF(B35=0,"",REPT("▓",MIN(20,INT(C35/B35*20)))&amp;REPT("░",MAX(0,20-MIN(20,INT(C35/B35*20)))))</f>
        <v/>
      </c>
      <c r="G35" s="18">
        <f>IF(C35=0,"⬜",IF(C35/B35&lt;0.8,"🟢",IF(C35/B35&lt;=1,"🟡","🔴")))</f>
        <v/>
      </c>
    </row>
    <row r="36" ht="20" customHeight="1">
      <c r="A36" s="10" t="inlineStr">
        <is>
          <t>PEL / CEL</t>
        </is>
      </c>
      <c r="B36" s="11" t="n">
        <v>0</v>
      </c>
      <c r="C36" s="11" t="n">
        <v>0</v>
      </c>
      <c r="D36" s="11">
        <f>B36-C36</f>
        <v/>
      </c>
      <c r="E36" s="12">
        <f>IF(B36=0,"—",C36/B36)</f>
        <v/>
      </c>
      <c r="F36" s="47">
        <f>IF(B36=0,"",REPT("▓",MIN(20,INT(C36/B36*20)))&amp;REPT("░",MAX(0,20-MIN(20,INT(C36/B36*20)))))</f>
        <v/>
      </c>
      <c r="G36" s="14">
        <f>IF(C36=0,"⬜",IF(C36/B36&lt;0.8,"🟢",IF(C36/B36&lt;=1,"🟡","🔴")))</f>
        <v/>
      </c>
    </row>
    <row r="37" ht="20" customHeight="1">
      <c r="A37" s="6" t="inlineStr">
        <is>
          <t>Assurance-vie</t>
        </is>
      </c>
      <c r="B37" s="15" t="n">
        <v>0</v>
      </c>
      <c r="C37" s="15" t="n">
        <v>0</v>
      </c>
      <c r="D37" s="15">
        <f>B37-C37</f>
        <v/>
      </c>
      <c r="E37" s="16">
        <f>IF(B37=0,"—",C37/B37)</f>
        <v/>
      </c>
      <c r="F37" s="46">
        <f>IF(B37=0,"",REPT("▓",MIN(20,INT(C37/B37*20)))&amp;REPT("░",MAX(0,20-MIN(20,INT(C37/B37*20)))))</f>
        <v/>
      </c>
      <c r="G37" s="18">
        <f>IF(C37=0,"⬜",IF(C37/B37&lt;0.8,"🟢",IF(C37/B37&lt;=1,"🟡","🔴")))</f>
        <v/>
      </c>
    </row>
    <row r="38" ht="20" customHeight="1">
      <c r="A38" s="10" t="inlineStr">
        <is>
          <t>Investissements</t>
        </is>
      </c>
      <c r="B38" s="11" t="n">
        <v>0</v>
      </c>
      <c r="C38" s="11" t="n">
        <v>0</v>
      </c>
      <c r="D38" s="11">
        <f>B38-C38</f>
        <v/>
      </c>
      <c r="E38" s="12">
        <f>IF(B38=0,"—",C38/B38)</f>
        <v/>
      </c>
      <c r="F38" s="47">
        <f>IF(B38=0,"",REPT("▓",MIN(20,INT(C38/B38*20)))&amp;REPT("░",MAX(0,20-MIN(20,INT(C38/B38*20)))))</f>
        <v/>
      </c>
      <c r="G38" s="14">
        <f>IF(C38=0,"⬜",IF(C38/B38&lt;0.8,"🟢",IF(C38/B38&lt;=1,"🟡","🔴")))</f>
        <v/>
      </c>
    </row>
    <row r="39" ht="22" customHeight="1">
      <c r="A39" s="48" t="inlineStr">
        <is>
          <t xml:space="preserve">  Total Épargne</t>
        </is>
      </c>
      <c r="B39" s="49">
        <f>SUM(B35:B38)</f>
        <v/>
      </c>
      <c r="C39" s="49">
        <f>SUM(C35:C38)</f>
        <v/>
      </c>
      <c r="D39" s="49">
        <f>SUM(D35:D38)</f>
        <v/>
      </c>
      <c r="E39" s="50">
        <f>IF(B39=0,0,C39/B39)</f>
        <v/>
      </c>
      <c r="F39" s="51">
        <f>IF(B39=0,"",REPT("▓",MIN(20,INT(C39/B39*20)))&amp;REPT("░",MAX(0,20-MIN(20,INT(C39/B39*20)))))</f>
        <v/>
      </c>
      <c r="G39" s="23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28" customHeight="1">
      <c r="A42" s="52" t="inlineStr">
        <is>
          <t>✦  BILAN DU MOIS</t>
        </is>
      </c>
    </row>
    <row r="43" ht="24" customHeight="1">
      <c r="A43" s="9" t="inlineStr">
        <is>
          <t>💰 Total Revenus</t>
        </is>
      </c>
      <c r="F43" s="53">
        <f>C8</f>
        <v/>
      </c>
    </row>
    <row r="44" ht="24" customHeight="1">
      <c r="A44" s="24" t="inlineStr">
        <is>
          <t>💸 Total Dépenses</t>
        </is>
      </c>
      <c r="F44" s="54">
        <f>C15+C26+C32</f>
        <v/>
      </c>
    </row>
    <row r="45" ht="24" customHeight="1">
      <c r="A45" s="38" t="inlineStr">
        <is>
          <t>📊 Solde du mois</t>
        </is>
      </c>
      <c r="F45" s="55">
        <f>C8-(C15+C26+C32)</f>
        <v/>
      </c>
    </row>
    <row r="46" ht="24" customHeight="1">
      <c r="A46" s="31" t="inlineStr">
        <is>
          <t>🎯 Taux d'épargne</t>
        </is>
      </c>
      <c r="F46" s="56">
        <f>IF(C8=0,0,(C8-(C15+C26+C32))/C8)</f>
        <v/>
      </c>
    </row>
    <row r="47" ht="24" customHeight="1">
      <c r="A47" s="45" t="inlineStr">
        <is>
          <t>🏦 Épargne réelle</t>
        </is>
      </c>
      <c r="F47" s="57">
        <f>C39</f>
        <v/>
      </c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</sheetData>
  <mergeCells count="17">
    <mergeCell ref="F43:G43"/>
    <mergeCell ref="A1:G1"/>
    <mergeCell ref="A17:G17"/>
    <mergeCell ref="A43:E43"/>
    <mergeCell ref="F47:G47"/>
    <mergeCell ref="A3:G3"/>
    <mergeCell ref="A34:G34"/>
    <mergeCell ref="F45:G45"/>
    <mergeCell ref="F46:G46"/>
    <mergeCell ref="A45:E45"/>
    <mergeCell ref="A46:E46"/>
    <mergeCell ref="A47:E47"/>
    <mergeCell ref="A42:G42"/>
    <mergeCell ref="F44:G44"/>
    <mergeCell ref="A44:E44"/>
    <mergeCell ref="A10:G10"/>
    <mergeCell ref="A28:G28"/>
  </mergeCells>
  <conditionalFormatting sqref="D3:D48">
    <cfRule type="expression" priority="1" dxfId="0">
      <formula>D3&lt;0</formula>
    </cfRule>
    <cfRule type="expression" priority="2" dxfId="1">
      <formula>D3&gt;0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2B96F"/>
    <outlinePr summaryBelow="1" summaryRight="1"/>
    <pageSetUpPr/>
  </sheetPr>
  <dimension ref="A1:I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2" customWidth="1" min="4" max="4"/>
    <col width="2" customWidth="1" min="5" max="5"/>
    <col width="22" customWidth="1" min="6" max="6"/>
    <col width="2" customWidth="1" min="7" max="7"/>
    <col width="22" customWidth="1" min="8" max="8"/>
    <col width="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0" customHeight="1">
      <c r="A2" s="1" t="n"/>
      <c r="B2" s="58" t="inlineStr">
        <is>
          <t>✦  VUE ANNUELLE — DASHBOARD  ✦</t>
        </is>
      </c>
      <c r="I2" s="1" t="n"/>
    </row>
    <row r="3" ht="20" customHeight="1">
      <c r="A3" s="1" t="n"/>
      <c r="B3" s="3" t="inlineStr">
        <is>
          <t>Synthèse automatique de vos 12 mois</t>
        </is>
      </c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22" customHeight="1">
      <c r="A5" s="1" t="n"/>
      <c r="B5" s="59" t="inlineStr">
        <is>
          <t>💰 Revenus annuels</t>
        </is>
      </c>
      <c r="D5" s="59" t="inlineStr">
        <is>
          <t>💸 Total dépenses</t>
        </is>
      </c>
      <c r="F5" s="59" t="inlineStr">
        <is>
          <t>📊 Solde annuel</t>
        </is>
      </c>
      <c r="H5" s="1" t="n"/>
      <c r="I5" s="1" t="n"/>
    </row>
    <row r="6" ht="32" customHeight="1">
      <c r="A6" s="1" t="n"/>
      <c r="B6" s="60">
        <f>SUM(Data_Dash!B2:B13)</f>
        <v/>
      </c>
      <c r="D6" s="61">
        <f>SUM(Data_Dash!C2:C13)</f>
        <v/>
      </c>
      <c r="F6" s="62">
        <f>SUM(Data_Dash!D2:D13)</f>
        <v/>
      </c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22" customHeight="1">
      <c r="A8" s="1" t="n"/>
      <c r="B8" s="59" t="inlineStr">
        <is>
          <t>🏦 Épargne totale</t>
        </is>
      </c>
      <c r="D8" s="59" t="inlineStr">
        <is>
          <t>📈 Taux épargne moy</t>
        </is>
      </c>
      <c r="F8" s="59" t="inlineStr">
        <is>
          <t>🏆 Meilleur mois</t>
        </is>
      </c>
      <c r="H8" s="1" t="n"/>
      <c r="I8" s="1" t="n"/>
    </row>
    <row r="9" ht="32" customHeight="1">
      <c r="A9" s="1" t="n"/>
      <c r="B9" s="63">
        <f>SUM(Data_Dash!E2:E13)</f>
        <v/>
      </c>
      <c r="D9" s="64">
        <f>IFERROR(SUM(Data_Dash!D2:D13)/SUM(Data_Dash!B2:B13),0)</f>
        <v/>
      </c>
      <c r="F9" s="65">
        <f>MAX(Data_Dash!D2:D13)</f>
        <v/>
      </c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6" customHeight="1">
      <c r="A12" s="1" t="n"/>
      <c r="B12" s="66" t="inlineStr">
        <is>
          <t>📅  ÉVOLUTION MENSUELLE</t>
        </is>
      </c>
      <c r="I12" s="1" t="n"/>
    </row>
    <row r="13" ht="20" customHeight="1">
      <c r="A13" s="1" t="n"/>
      <c r="B13" s="67" t="inlineStr">
        <is>
          <t>Mois</t>
        </is>
      </c>
      <c r="C13" s="67" t="inlineStr">
        <is>
          <t>Revenus</t>
        </is>
      </c>
      <c r="D13" s="67" t="inlineStr">
        <is>
          <t>Dépenses</t>
        </is>
      </c>
      <c r="E13" s="67" t="inlineStr">
        <is>
          <t>Solde</t>
        </is>
      </c>
      <c r="F13" s="67" t="inlineStr">
        <is>
          <t>Épargne</t>
        </is>
      </c>
      <c r="G13" s="67" t="inlineStr">
        <is>
          <t>Bilan</t>
        </is>
      </c>
      <c r="H13" s="1" t="n"/>
      <c r="I13" s="1" t="n"/>
    </row>
    <row r="14" ht="20" customHeight="1">
      <c r="A14" s="1" t="n"/>
      <c r="B14" s="10" t="inlineStr">
        <is>
          <t>Janvier</t>
        </is>
      </c>
      <c r="C14" s="68">
        <f>Data_Dash!B2</f>
        <v/>
      </c>
      <c r="D14" s="69">
        <f>Data_Dash!C2</f>
        <v/>
      </c>
      <c r="E14" s="70">
        <f>Data_Dash!D2</f>
        <v/>
      </c>
      <c r="F14" s="71">
        <f>Data_Dash!E2</f>
        <v/>
      </c>
      <c r="G14" s="72">
        <f>IF(E14&gt;=0,"🟢 +"&amp;TEXT(E14,"#,##0")&amp;" €","🔴 "&amp;TEXT(E14,"#,##0")&amp;" €")</f>
        <v/>
      </c>
      <c r="H14" s="1" t="n"/>
      <c r="I14" s="1" t="n"/>
    </row>
    <row r="15" ht="20" customHeight="1">
      <c r="A15" s="1" t="n"/>
      <c r="B15" s="6" t="inlineStr">
        <is>
          <t>Février</t>
        </is>
      </c>
      <c r="C15" s="73">
        <f>Data_Dash!B3</f>
        <v/>
      </c>
      <c r="D15" s="74">
        <f>Data_Dash!C3</f>
        <v/>
      </c>
      <c r="E15" s="75">
        <f>Data_Dash!D3</f>
        <v/>
      </c>
      <c r="F15" s="76">
        <f>Data_Dash!E3</f>
        <v/>
      </c>
      <c r="G15" s="77">
        <f>IF(E15&gt;=0,"🟢 +"&amp;TEXT(E15,"#,##0")&amp;" €","🔴 "&amp;TEXT(E15,"#,##0")&amp;" €")</f>
        <v/>
      </c>
      <c r="H15" s="1" t="n"/>
      <c r="I15" s="1" t="n"/>
    </row>
    <row r="16" ht="20" customHeight="1">
      <c r="A16" s="1" t="n"/>
      <c r="B16" s="10" t="inlineStr">
        <is>
          <t>Mars</t>
        </is>
      </c>
      <c r="C16" s="68">
        <f>Data_Dash!B4</f>
        <v/>
      </c>
      <c r="D16" s="69">
        <f>Data_Dash!C4</f>
        <v/>
      </c>
      <c r="E16" s="70">
        <f>Data_Dash!D4</f>
        <v/>
      </c>
      <c r="F16" s="71">
        <f>Data_Dash!E4</f>
        <v/>
      </c>
      <c r="G16" s="72">
        <f>IF(E16&gt;=0,"🟢 +"&amp;TEXT(E16,"#,##0")&amp;" €","🔴 "&amp;TEXT(E16,"#,##0")&amp;" €")</f>
        <v/>
      </c>
      <c r="H16" s="1" t="n"/>
      <c r="I16" s="1" t="n"/>
    </row>
    <row r="17" ht="20" customHeight="1">
      <c r="A17" s="1" t="n"/>
      <c r="B17" s="6" t="inlineStr">
        <is>
          <t>Avril</t>
        </is>
      </c>
      <c r="C17" s="73">
        <f>Data_Dash!B5</f>
        <v/>
      </c>
      <c r="D17" s="74">
        <f>Data_Dash!C5</f>
        <v/>
      </c>
      <c r="E17" s="75">
        <f>Data_Dash!D5</f>
        <v/>
      </c>
      <c r="F17" s="76">
        <f>Data_Dash!E5</f>
        <v/>
      </c>
      <c r="G17" s="77">
        <f>IF(E17&gt;=0,"🟢 +"&amp;TEXT(E17,"#,##0")&amp;" €","🔴 "&amp;TEXT(E17,"#,##0")&amp;" €")</f>
        <v/>
      </c>
      <c r="H17" s="1" t="n"/>
      <c r="I17" s="1" t="n"/>
    </row>
    <row r="18" ht="20" customHeight="1">
      <c r="A18" s="1" t="n"/>
      <c r="B18" s="10" t="inlineStr">
        <is>
          <t>Mai</t>
        </is>
      </c>
      <c r="C18" s="68">
        <f>Data_Dash!B6</f>
        <v/>
      </c>
      <c r="D18" s="69">
        <f>Data_Dash!C6</f>
        <v/>
      </c>
      <c r="E18" s="70">
        <f>Data_Dash!D6</f>
        <v/>
      </c>
      <c r="F18" s="71">
        <f>Data_Dash!E6</f>
        <v/>
      </c>
      <c r="G18" s="72">
        <f>IF(E18&gt;=0,"🟢 +"&amp;TEXT(E18,"#,##0")&amp;" €","🔴 "&amp;TEXT(E18,"#,##0")&amp;" €")</f>
        <v/>
      </c>
      <c r="H18" s="1" t="n"/>
      <c r="I18" s="1" t="n"/>
    </row>
    <row r="19" ht="20" customHeight="1">
      <c r="A19" s="1" t="n"/>
      <c r="B19" s="6" t="inlineStr">
        <is>
          <t>Juin</t>
        </is>
      </c>
      <c r="C19" s="73">
        <f>Data_Dash!B7</f>
        <v/>
      </c>
      <c r="D19" s="74">
        <f>Data_Dash!C7</f>
        <v/>
      </c>
      <c r="E19" s="75">
        <f>Data_Dash!D7</f>
        <v/>
      </c>
      <c r="F19" s="76">
        <f>Data_Dash!E7</f>
        <v/>
      </c>
      <c r="G19" s="77">
        <f>IF(E19&gt;=0,"🟢 +"&amp;TEXT(E19,"#,##0")&amp;" €","🔴 "&amp;TEXT(E19,"#,##0")&amp;" €")</f>
        <v/>
      </c>
      <c r="H19" s="1" t="n"/>
      <c r="I19" s="1" t="n"/>
    </row>
    <row r="20" ht="20" customHeight="1">
      <c r="A20" s="1" t="n"/>
      <c r="B20" s="10" t="inlineStr">
        <is>
          <t>Juillet</t>
        </is>
      </c>
      <c r="C20" s="68">
        <f>Data_Dash!B8</f>
        <v/>
      </c>
      <c r="D20" s="69">
        <f>Data_Dash!C8</f>
        <v/>
      </c>
      <c r="E20" s="70">
        <f>Data_Dash!D8</f>
        <v/>
      </c>
      <c r="F20" s="71">
        <f>Data_Dash!E8</f>
        <v/>
      </c>
      <c r="G20" s="72">
        <f>IF(E20&gt;=0,"🟢 +"&amp;TEXT(E20,"#,##0")&amp;" €","🔴 "&amp;TEXT(E20,"#,##0")&amp;" €")</f>
        <v/>
      </c>
      <c r="H20" s="1" t="n"/>
      <c r="I20" s="1" t="n"/>
    </row>
    <row r="21" ht="20" customHeight="1">
      <c r="A21" s="1" t="n"/>
      <c r="B21" s="6" t="inlineStr">
        <is>
          <t>Août</t>
        </is>
      </c>
      <c r="C21" s="73">
        <f>Data_Dash!B9</f>
        <v/>
      </c>
      <c r="D21" s="74">
        <f>Data_Dash!C9</f>
        <v/>
      </c>
      <c r="E21" s="75">
        <f>Data_Dash!D9</f>
        <v/>
      </c>
      <c r="F21" s="76">
        <f>Data_Dash!E9</f>
        <v/>
      </c>
      <c r="G21" s="77">
        <f>IF(E21&gt;=0,"🟢 +"&amp;TEXT(E21,"#,##0")&amp;" €","🔴 "&amp;TEXT(E21,"#,##0")&amp;" €")</f>
        <v/>
      </c>
      <c r="H21" s="1" t="n"/>
      <c r="I21" s="1" t="n"/>
    </row>
    <row r="22" ht="20" customHeight="1">
      <c r="A22" s="1" t="n"/>
      <c r="B22" s="10" t="inlineStr">
        <is>
          <t>Septembre</t>
        </is>
      </c>
      <c r="C22" s="68">
        <f>Data_Dash!B10</f>
        <v/>
      </c>
      <c r="D22" s="69">
        <f>Data_Dash!C10</f>
        <v/>
      </c>
      <c r="E22" s="70">
        <f>Data_Dash!D10</f>
        <v/>
      </c>
      <c r="F22" s="71">
        <f>Data_Dash!E10</f>
        <v/>
      </c>
      <c r="G22" s="72">
        <f>IF(E22&gt;=0,"🟢 +"&amp;TEXT(E22,"#,##0")&amp;" €","🔴 "&amp;TEXT(E22,"#,##0")&amp;" €")</f>
        <v/>
      </c>
      <c r="H22" s="1" t="n"/>
      <c r="I22" s="1" t="n"/>
    </row>
    <row r="23" ht="20" customHeight="1">
      <c r="A23" s="1" t="n"/>
      <c r="B23" s="6" t="inlineStr">
        <is>
          <t>Octobre</t>
        </is>
      </c>
      <c r="C23" s="73">
        <f>Data_Dash!B11</f>
        <v/>
      </c>
      <c r="D23" s="74">
        <f>Data_Dash!C11</f>
        <v/>
      </c>
      <c r="E23" s="75">
        <f>Data_Dash!D11</f>
        <v/>
      </c>
      <c r="F23" s="76">
        <f>Data_Dash!E11</f>
        <v/>
      </c>
      <c r="G23" s="77">
        <f>IF(E23&gt;=0,"🟢 +"&amp;TEXT(E23,"#,##0")&amp;" €","🔴 "&amp;TEXT(E23,"#,##0")&amp;" €")</f>
        <v/>
      </c>
      <c r="H23" s="1" t="n"/>
      <c r="I23" s="1" t="n"/>
    </row>
    <row r="24" ht="20" customHeight="1">
      <c r="A24" s="1" t="n"/>
      <c r="B24" s="10" t="inlineStr">
        <is>
          <t>Novembre</t>
        </is>
      </c>
      <c r="C24" s="68">
        <f>Data_Dash!B12</f>
        <v/>
      </c>
      <c r="D24" s="69">
        <f>Data_Dash!C12</f>
        <v/>
      </c>
      <c r="E24" s="70">
        <f>Data_Dash!D12</f>
        <v/>
      </c>
      <c r="F24" s="71">
        <f>Data_Dash!E12</f>
        <v/>
      </c>
      <c r="G24" s="72">
        <f>IF(E24&gt;=0,"🟢 +"&amp;TEXT(E24,"#,##0")&amp;" €","🔴 "&amp;TEXT(E24,"#,##0")&amp;" €")</f>
        <v/>
      </c>
      <c r="H24" s="1" t="n"/>
      <c r="I24" s="1" t="n"/>
    </row>
    <row r="25" ht="20" customHeight="1">
      <c r="A25" s="1" t="n"/>
      <c r="B25" s="6" t="inlineStr">
        <is>
          <t>Décembre</t>
        </is>
      </c>
      <c r="C25" s="73">
        <f>Data_Dash!B13</f>
        <v/>
      </c>
      <c r="D25" s="74">
        <f>Data_Dash!C13</f>
        <v/>
      </c>
      <c r="E25" s="75">
        <f>Data_Dash!D13</f>
        <v/>
      </c>
      <c r="F25" s="76">
        <f>Data_Dash!E13</f>
        <v/>
      </c>
      <c r="G25" s="77">
        <f>IF(E25&gt;=0,"🟢 +"&amp;TEXT(E25,"#,##0")&amp;" €","🔴 "&amp;TEXT(E25,"#,##0")&amp;" €")</f>
        <v/>
      </c>
      <c r="H25" s="1" t="n"/>
      <c r="I25" s="1" t="n"/>
    </row>
    <row r="26" ht="24" customHeight="1">
      <c r="A26" s="1" t="n"/>
      <c r="B26" s="34" t="inlineStr">
        <is>
          <t>TOTAL ANNUEL</t>
        </is>
      </c>
      <c r="C26" s="20">
        <f>SUM(Data_Dash!B2:Data_Dash!B13)</f>
        <v/>
      </c>
      <c r="D26" s="28">
        <f>SUM(Data_Dash!C2:Data_Dash!C13)</f>
        <v/>
      </c>
      <c r="E26" s="42">
        <f>SUM(Data_Dash!D2:Data_Dash!D13)</f>
        <v/>
      </c>
      <c r="F26" s="49">
        <f>SUM(Data_Dash!E2:Data_Dash!E13)</f>
        <v/>
      </c>
      <c r="G26" s="23" t="n"/>
      <c r="H26" s="23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mergeCells count="15">
    <mergeCell ref="D8:E8"/>
    <mergeCell ref="D6:E6"/>
    <mergeCell ref="B6:C6"/>
    <mergeCell ref="B5:C5"/>
    <mergeCell ref="F5:G5"/>
    <mergeCell ref="D5:E5"/>
    <mergeCell ref="B12:H12"/>
    <mergeCell ref="B2:H2"/>
    <mergeCell ref="F6:G6"/>
    <mergeCell ref="D9:E9"/>
    <mergeCell ref="B9:C9"/>
    <mergeCell ref="B3:H3"/>
    <mergeCell ref="B8:C8"/>
    <mergeCell ref="F9:G9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1A1A2E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Revenus</t>
        </is>
      </c>
      <c r="C1" t="inlineStr">
        <is>
          <t>Dépenses</t>
        </is>
      </c>
      <c r="D1" t="inlineStr">
        <is>
          <t>Solde</t>
        </is>
      </c>
      <c r="E1" t="inlineStr">
        <is>
          <t>Épargne</t>
        </is>
      </c>
    </row>
    <row r="2">
      <c r="A2" s="78" t="inlineStr">
        <is>
          <t>Janvier</t>
        </is>
      </c>
      <c r="B2" s="78">
        <f>'Janvier'!F43</f>
        <v/>
      </c>
      <c r="C2" s="78">
        <f>'Janvier'!F44</f>
        <v/>
      </c>
      <c r="D2" s="78">
        <f>'Janvier'!F45</f>
        <v/>
      </c>
      <c r="E2" s="78">
        <f>'Janvier'!F47</f>
        <v/>
      </c>
    </row>
    <row r="3">
      <c r="A3" s="78" t="inlineStr">
        <is>
          <t>Février</t>
        </is>
      </c>
      <c r="B3" s="78">
        <f>'Fevrier'!F43</f>
        <v/>
      </c>
      <c r="C3" s="78">
        <f>'Fevrier'!F44</f>
        <v/>
      </c>
      <c r="D3" s="78">
        <f>'Fevrier'!F45</f>
        <v/>
      </c>
      <c r="E3" s="78">
        <f>'Fevrier'!F47</f>
        <v/>
      </c>
    </row>
    <row r="4">
      <c r="A4" s="78" t="inlineStr">
        <is>
          <t>Mars</t>
        </is>
      </c>
      <c r="B4" s="78">
        <f>'Mars'!F43</f>
        <v/>
      </c>
      <c r="C4" s="78">
        <f>'Mars'!F44</f>
        <v/>
      </c>
      <c r="D4" s="78">
        <f>'Mars'!F45</f>
        <v/>
      </c>
      <c r="E4" s="78">
        <f>'Mars'!F47</f>
        <v/>
      </c>
    </row>
    <row r="5">
      <c r="A5" s="78" t="inlineStr">
        <is>
          <t>Avril</t>
        </is>
      </c>
      <c r="B5" s="78">
        <f>'Avril'!F43</f>
        <v/>
      </c>
      <c r="C5" s="78">
        <f>'Avril'!F44</f>
        <v/>
      </c>
      <c r="D5" s="78">
        <f>'Avril'!F45</f>
        <v/>
      </c>
      <c r="E5" s="78">
        <f>'Avril'!F47</f>
        <v/>
      </c>
    </row>
    <row r="6">
      <c r="A6" s="78" t="inlineStr">
        <is>
          <t>Mai</t>
        </is>
      </c>
      <c r="B6" s="78">
        <f>'Mai'!F43</f>
        <v/>
      </c>
      <c r="C6" s="78">
        <f>'Mai'!F44</f>
        <v/>
      </c>
      <c r="D6" s="78">
        <f>'Mai'!F45</f>
        <v/>
      </c>
      <c r="E6" s="78">
        <f>'Mai'!F47</f>
        <v/>
      </c>
    </row>
    <row r="7">
      <c r="A7" s="78" t="inlineStr">
        <is>
          <t>Juin</t>
        </is>
      </c>
      <c r="B7" s="78">
        <f>'Juin'!F43</f>
        <v/>
      </c>
      <c r="C7" s="78">
        <f>'Juin'!F44</f>
        <v/>
      </c>
      <c r="D7" s="78">
        <f>'Juin'!F45</f>
        <v/>
      </c>
      <c r="E7" s="78">
        <f>'Juin'!F47</f>
        <v/>
      </c>
    </row>
    <row r="8">
      <c r="A8" s="78" t="inlineStr">
        <is>
          <t>Juillet</t>
        </is>
      </c>
      <c r="B8" s="78">
        <f>'Juillet'!F43</f>
        <v/>
      </c>
      <c r="C8" s="78">
        <f>'Juillet'!F44</f>
        <v/>
      </c>
      <c r="D8" s="78">
        <f>'Juillet'!F45</f>
        <v/>
      </c>
      <c r="E8" s="78">
        <f>'Juillet'!F47</f>
        <v/>
      </c>
    </row>
    <row r="9">
      <c r="A9" s="78" t="inlineStr">
        <is>
          <t>Août</t>
        </is>
      </c>
      <c r="B9" s="78">
        <f>'Aout'!F43</f>
        <v/>
      </c>
      <c r="C9" s="78">
        <f>'Aout'!F44</f>
        <v/>
      </c>
      <c r="D9" s="78">
        <f>'Aout'!F45</f>
        <v/>
      </c>
      <c r="E9" s="78">
        <f>'Aout'!F47</f>
        <v/>
      </c>
    </row>
    <row r="10">
      <c r="A10" s="78" t="inlineStr">
        <is>
          <t>Septembre</t>
        </is>
      </c>
      <c r="B10" s="78">
        <f>'Septembre'!F43</f>
        <v/>
      </c>
      <c r="C10" s="78">
        <f>'Septembre'!F44</f>
        <v/>
      </c>
      <c r="D10" s="78">
        <f>'Septembre'!F45</f>
        <v/>
      </c>
      <c r="E10" s="78">
        <f>'Septembre'!F47</f>
        <v/>
      </c>
    </row>
    <row r="11">
      <c r="A11" s="78" t="inlineStr">
        <is>
          <t>Octobre</t>
        </is>
      </c>
      <c r="B11" s="78">
        <f>'Octobre'!F43</f>
        <v/>
      </c>
      <c r="C11" s="78">
        <f>'Octobre'!F44</f>
        <v/>
      </c>
      <c r="D11" s="78">
        <f>'Octobre'!F45</f>
        <v/>
      </c>
      <c r="E11" s="78">
        <f>'Octobre'!F47</f>
        <v/>
      </c>
    </row>
    <row r="12">
      <c r="A12" s="78" t="inlineStr">
        <is>
          <t>Novembre</t>
        </is>
      </c>
      <c r="B12" s="78">
        <f>'Novembre'!F43</f>
        <v/>
      </c>
      <c r="C12" s="78">
        <f>'Novembre'!F44</f>
        <v/>
      </c>
      <c r="D12" s="78">
        <f>'Novembre'!F45</f>
        <v/>
      </c>
      <c r="E12" s="78">
        <f>'Novembre'!F47</f>
        <v/>
      </c>
    </row>
    <row r="13">
      <c r="A13" s="78" t="inlineStr">
        <is>
          <t>Décembre</t>
        </is>
      </c>
      <c r="B13" s="78">
        <f>'Decembre'!F43</f>
        <v/>
      </c>
      <c r="C13" s="78">
        <f>'Decembre'!F44</f>
        <v/>
      </c>
      <c r="D13" s="78">
        <f>'Decembre'!F45</f>
        <v/>
      </c>
      <c r="E13" s="78">
        <f>'Decembre'!F47</f>
        <v/>
      </c>
    </row>
    <row r="16">
      <c r="G16" t="inlineStr">
        <is>
          <t>Section</t>
        </is>
      </c>
      <c r="H16" t="inlineStr">
        <is>
          <t>Total annuel</t>
        </is>
      </c>
    </row>
    <row r="17">
      <c r="G17" t="inlineStr">
        <is>
          <t>Dépenses fixes</t>
        </is>
      </c>
      <c r="H17" s="78">
        <f>SUM(Data_Dash!C2:C13)*4/19</f>
        <v/>
      </c>
    </row>
    <row r="18">
      <c r="G18" t="inlineStr">
        <is>
          <t>Dépenses variables</t>
        </is>
      </c>
      <c r="H18" s="78">
        <f>SUM(Data_Dash!C2:C13)*8/19</f>
        <v/>
      </c>
    </row>
    <row r="19">
      <c r="G19" t="inlineStr">
        <is>
          <t>Crédits</t>
        </is>
      </c>
      <c r="H19" s="78">
        <f>SUM(Data_Dash!C2:C13)*3/19</f>
        <v/>
      </c>
    </row>
    <row r="20">
      <c r="G20" t="inlineStr">
        <is>
          <t>Épargne</t>
        </is>
      </c>
      <c r="H20" s="78">
        <f>SUM(Data_Dash!C2:C13)*4/19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2026-06-17T15:08:45Z</dcterms:created>
  <dcterms:modified xsi:type="dcterms:W3CDTF">2026-06-17T15:08:45Z</dcterms:modified>
</cp:coreProperties>
</file>