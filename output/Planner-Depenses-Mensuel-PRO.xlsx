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Revenus" sheetId="2" state="visible" r:id="rId2"/>
    <sheet name="Janvier" sheetId="3" state="visible" r:id="rId3"/>
    <sheet name="Fevrier" sheetId="4" state="visible" r:id="rId4"/>
    <sheet name="Mars" sheetId="5" state="visible" r:id="rId5"/>
    <sheet name="Avril" sheetId="6" state="visible" r:id="rId6"/>
    <sheet name="Mai" sheetId="7" state="visible" r:id="rId7"/>
    <sheet name="Juin" sheetId="8" state="visible" r:id="rId8"/>
    <sheet name="Juillet" sheetId="9" state="visible" r:id="rId9"/>
    <sheet name="Aout" sheetId="10" state="visible" r:id="rId10"/>
    <sheet name="Septembre" sheetId="11" state="visible" r:id="rId11"/>
    <sheet name="Octobre" sheetId="12" state="visible" r:id="rId12"/>
    <sheet name="Novembre" sheetId="13" state="visible" r:id="rId13"/>
    <sheet name="Decembre" sheetId="14" state="visible" r:id="rId14"/>
    <sheet name="Dashboar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€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A8C4B8"/>
      <sz val="10"/>
    </font>
    <font>
      <name val="Calibri"/>
      <color rgb="002C2C2A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D4876B"/>
      <sz val="10"/>
    </font>
    <font>
      <name val="Courier New"/>
      <color rgb="005C7A6B"/>
      <sz val="10"/>
    </font>
    <font>
      <name val="Calibri"/>
      <color rgb="002C2C2A"/>
      <sz val="12"/>
    </font>
    <font>
      <name val="Calibri"/>
      <b val="1"/>
      <color rgb="00A8C4B8"/>
      <sz val="10"/>
    </font>
    <font>
      <name val="Courier New"/>
      <b val="1"/>
      <color rgb="00A8C4B8"/>
      <sz val="10"/>
    </font>
    <font>
      <name val="Calibri"/>
      <i val="1"/>
      <color rgb="008B8A87"/>
      <sz val="9"/>
    </font>
    <font>
      <name val="Calibri"/>
      <color rgb="00A8C4B8"/>
      <sz val="9"/>
    </font>
    <font>
      <name val="Calibri"/>
      <color rgb="00FFFFFF"/>
      <sz val="9"/>
    </font>
    <font>
      <name val="Calibri"/>
      <b val="1"/>
      <color rgb="00FFFFFF"/>
      <sz val="20"/>
    </font>
  </fonts>
  <fills count="12">
    <fill>
      <patternFill/>
    </fill>
    <fill>
      <patternFill patternType="gray125"/>
    </fill>
    <fill>
      <patternFill patternType="solid">
        <fgColor rgb="001C3A2F"/>
      </patternFill>
    </fill>
    <fill>
      <patternFill patternType="solid">
        <fgColor rgb="002D5C48"/>
      </patternFill>
    </fill>
    <fill>
      <patternFill patternType="solid">
        <fgColor rgb="00FFFFFF"/>
      </patternFill>
    </fill>
    <fill>
      <patternFill patternType="solid">
        <fgColor rgb="005C7A6B"/>
      </patternFill>
    </fill>
    <fill>
      <patternFill patternType="solid">
        <fgColor rgb="00EDE5D8"/>
      </patternFill>
    </fill>
    <fill>
      <patternFill patternType="solid">
        <fgColor rgb="00FFFDF7"/>
      </patternFill>
    </fill>
    <fill>
      <patternFill patternType="solid">
        <fgColor rgb="00FFF8F0"/>
      </patternFill>
    </fill>
    <fill>
      <patternFill patternType="solid">
        <fgColor rgb="00F5EFE6"/>
      </patternFill>
    </fill>
    <fill>
      <patternFill patternType="solid">
        <fgColor rgb="00D4876B"/>
      </patternFill>
    </fill>
    <fill>
      <patternFill patternType="solid">
        <fgColor rgb="0027AE60"/>
      </patternFill>
    </fill>
  </fills>
  <borders count="2">
    <border>
      <left/>
      <right/>
      <top/>
      <bottom/>
      <diagonal/>
    </border>
    <border>
      <left style="thin">
        <color rgb="00D4C9B8"/>
      </left>
      <right style="thin">
        <color rgb="00D4C9B8"/>
      </right>
      <top style="thin">
        <color rgb="00D4C9B8"/>
      </top>
      <bottom style="thin">
        <color rgb="00D4C9B8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9" fontId="3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center" vertical="center"/>
    </xf>
    <xf numFmtId="9" fontId="4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13" fillId="9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 vertical="center"/>
    </xf>
    <xf numFmtId="0" fontId="15" fillId="10" borderId="0" applyAlignment="1" pivotButton="0" quotePrefix="0" xfId="0">
      <alignment horizontal="center" vertical="center"/>
    </xf>
    <xf numFmtId="164" fontId="16" fillId="5" borderId="0" applyAlignment="1" pivotButton="0" quotePrefix="0" xfId="0">
      <alignment horizontal="center" vertical="center"/>
    </xf>
    <xf numFmtId="164" fontId="16" fillId="3" borderId="0" applyAlignment="1" pivotButton="0" quotePrefix="0" xfId="0">
      <alignment horizontal="center" vertical="center"/>
    </xf>
    <xf numFmtId="164" fontId="16" fillId="10" borderId="0" applyAlignment="1" pivotButton="0" quotePrefix="0" xfId="0">
      <alignment horizontal="center" vertical="center"/>
    </xf>
    <xf numFmtId="0" fontId="15" fillId="11" borderId="0" applyAlignment="1" pivotButton="0" quotePrefix="0" xfId="0">
      <alignment horizontal="center" vertical="center"/>
    </xf>
    <xf numFmtId="164" fontId="16" fillId="11" borderId="0" applyAlignment="1" pivotButton="0" quotePrefix="0" xfId="0">
      <alignment horizontal="center" vertical="center"/>
    </xf>
    <xf numFmtId="165" fontId="16" fillId="1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C0392B"/>
      </font>
      <fill>
        <patternFill patternType="solid">
          <fgColor rgb="00FDE8E0"/>
        </patternFill>
      </fill>
    </dxf>
    <dxf>
      <font>
        <name val="Calibri"/>
        <b val="1"/>
        <color rgb="0027AE60"/>
      </font>
      <fill>
        <patternFill patternType="solid">
          <fgColor rgb="00E6F2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Budget vs Dépensé par mois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'Dashboard'!C30</f>
            </strRef>
          </tx>
          <spPr>
            <a:solidFill>
              <a:srgbClr val="2D5C48"/>
            </a:solidFill>
            <a:ln>
              <a:prstDash val="solid"/>
            </a:ln>
          </spPr>
          <cat>
            <numRef>
              <f>'Dashboard'!$B$30:$B$42</f>
            </numRef>
          </cat>
          <val>
            <numRef>
              <f>'Dashboard'!$C$31:$C$42</f>
            </numRef>
          </val>
        </ser>
        <ser>
          <idx val="1"/>
          <order val="1"/>
          <tx>
            <strRef>
              <f>'Dashboard'!D30</f>
            </strRef>
          </tx>
          <spPr>
            <a:solidFill>
              <a:srgbClr val="D4876B"/>
            </a:solidFill>
            <a:ln>
              <a:prstDash val="solid"/>
            </a:ln>
          </spPr>
          <cat>
            <numRef>
              <f>'Dashboard'!$B$30:$B$42</f>
            </numRef>
          </cat>
          <val>
            <numRef>
              <f>'Dashboard'!$D$31:$D$42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Répartition annuelle par catégorie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C3A2F"/>
              </a:solidFill>
              <a:ln>
                <a:prstDash val="solid"/>
              </a:ln>
            </spPr>
          </dPt>
          <dPt>
            <idx val="1"/>
            <spPr>
              <a:solidFill>
                <a:srgbClr val="2D5C48"/>
              </a:solidFill>
              <a:ln>
                <a:prstDash val="solid"/>
              </a:ln>
            </spPr>
          </dPt>
          <dPt>
            <idx val="2"/>
            <spPr>
              <a:solidFill>
                <a:srgbClr val="5C7A6B"/>
              </a:solidFill>
              <a:ln>
                <a:prstDash val="solid"/>
              </a:ln>
            </spPr>
          </dPt>
          <dPt>
            <idx val="3"/>
            <spPr>
              <a:solidFill>
                <a:srgbClr val="A8C4B8"/>
              </a:solidFill>
              <a:ln>
                <a:prstDash val="solid"/>
              </a:ln>
            </spPr>
          </dPt>
          <dPt>
            <idx val="4"/>
            <spPr>
              <a:solidFill>
                <a:srgbClr val="D4876B"/>
              </a:solidFill>
              <a:ln>
                <a:prstDash val="solid"/>
              </a:ln>
            </spPr>
          </dPt>
          <dPt>
            <idx val="5"/>
            <spPr>
              <a:solidFill>
                <a:srgbClr val="F0C9B7"/>
              </a:solidFill>
              <a:ln>
                <a:prstDash val="solid"/>
              </a:ln>
            </spPr>
          </dPt>
          <dPt>
            <idx val="6"/>
            <spPr>
              <a:solidFill>
                <a:srgbClr val="8B8A87"/>
              </a:solidFill>
              <a:ln>
                <a:prstDash val="solid"/>
              </a:ln>
            </spPr>
          </dPt>
          <dPt>
            <idx val="7"/>
            <spPr>
              <a:solidFill>
                <a:srgbClr val="EDE5D8"/>
              </a:solidFill>
              <a:ln>
                <a:prstDash val="solid"/>
              </a:ln>
            </spPr>
          </dPt>
          <cat>
            <numRef>
              <f>'Dashboard'!$B$44:$B$52</f>
            </numRef>
          </cat>
          <val>
            <numRef>
              <f>'Dashboard'!$C$44:$C$52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14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14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C3A2F"/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5" customWidth="1" min="2" max="2"/>
    <col width="3" customWidth="1" min="3" max="3"/>
  </cols>
  <sheetData>
    <row r="1" ht="8" customHeight="1"/>
    <row r="2" ht="36" customHeight="1">
      <c r="B2" s="1" t="inlineStr">
        <is>
          <t>💰  EXPENSE PLANNER PRO  ·  Suivi de dépenses annuel</t>
        </is>
      </c>
    </row>
    <row r="3" ht="20" customHeight="1">
      <c r="B3" s="2" t="inlineStr">
        <is>
          <t>Votre planner de budget personnel — formules automatiques, design soigné</t>
        </is>
      </c>
    </row>
    <row r="4" ht="18" customHeight="1">
      <c r="B4" s="3" t="inlineStr"/>
    </row>
    <row r="5" ht="18" customHeight="1">
      <c r="B5" s="4" t="inlineStr">
        <is>
          <t xml:space="preserve">  COMMENT UTILISER CE FICHIER</t>
        </is>
      </c>
    </row>
    <row r="6" ht="18" customHeight="1">
      <c r="B6" s="3" t="inlineStr"/>
    </row>
    <row r="7" ht="18" customHeight="1">
      <c r="B7" s="5" t="inlineStr">
        <is>
          <t xml:space="preserve">  1 ·  Onglet « Revenus »  →  Saisissez votre revenu mensuel et votre objectif d'épargne.</t>
        </is>
      </c>
    </row>
    <row r="8" ht="18" customHeight="1">
      <c r="B8" s="3" t="inlineStr">
        <is>
          <t xml:space="preserve">  2 ·  Onglets mensuels (Janvier … Décembre)  →  Entrez uniquement la colonne « Dépensé réel ».</t>
        </is>
      </c>
    </row>
    <row r="9" ht="18" customHeight="1">
      <c r="B9" s="5" t="inlineStr">
        <is>
          <t xml:space="preserve">       ✦  La colonne Restant, le % et la barre de progression se mettent à jour seuls.</t>
        </is>
      </c>
    </row>
    <row r="10" ht="18" customHeight="1">
      <c r="B10" s="3" t="inlineStr">
        <is>
          <t xml:space="preserve">       ✦  Le feu tricolore 🟢🟡🔴 indique votre situation au premier coup d'œil.</t>
        </is>
      </c>
    </row>
    <row r="11" ht="18" customHeight="1">
      <c r="B11" s="5" t="inlineStr">
        <is>
          <t xml:space="preserve">  3 ·  Onglet « Dashboard »  →  Vue d'ensemble annuelle, graphiques et KPIs — rien à remplir.</t>
        </is>
      </c>
    </row>
    <row r="12" ht="18" customHeight="1">
      <c r="B12" s="3" t="inlineStr"/>
    </row>
    <row r="13" ht="18" customHeight="1">
      <c r="B13" s="4" t="inlineStr">
        <is>
          <t xml:space="preserve">  LÉGENDE DES COULEURS</t>
        </is>
      </c>
    </row>
    <row r="14" ht="18" customHeight="1">
      <c r="B14" s="3" t="inlineStr"/>
    </row>
    <row r="15" ht="18" customHeight="1">
      <c r="B15" s="3" t="inlineStr">
        <is>
          <t xml:space="preserve">   🟢  Moins de 80 % du budget utilisé    ·    Vous êtes dans les clous !</t>
        </is>
      </c>
    </row>
    <row r="16" ht="18" customHeight="1">
      <c r="B16" s="5" t="inlineStr">
        <is>
          <t xml:space="preserve">   🟡  Entre 80 % et 100 %    ·    Soyez vigilant.</t>
        </is>
      </c>
    </row>
    <row r="17" ht="18" customHeight="1">
      <c r="B17" s="3" t="inlineStr">
        <is>
          <t xml:space="preserve">   🔴  Dépassement    ·    Il faut ajuster.</t>
        </is>
      </c>
    </row>
    <row r="18" ht="18" customHeight="1">
      <c r="B18" s="3" t="inlineStr"/>
    </row>
    <row r="19" ht="18" customHeight="1">
      <c r="B19" s="4" t="inlineStr">
        <is>
          <t xml:space="preserve">  CONSEILS</t>
        </is>
      </c>
    </row>
    <row r="20" ht="18" customHeight="1">
      <c r="B20" s="3" t="inlineStr"/>
    </row>
    <row r="21" ht="18" customHeight="1">
      <c r="B21" s="5" t="inlineStr">
        <is>
          <t xml:space="preserve">   ✦  Modifiez les budgets prévus dans chaque onglet mensuel selon vos revenus.</t>
        </is>
      </c>
    </row>
    <row r="22" ht="18" customHeight="1">
      <c r="B22" s="3" t="inlineStr">
        <is>
          <t xml:space="preserve">   ✦  Les catégories sont personnalisables (clic sur la cellule, tapez votre nom).</t>
        </is>
      </c>
    </row>
    <row r="23" ht="18" customHeight="1">
      <c r="B23" s="5" t="inlineStr">
        <is>
          <t xml:space="preserve">   ✦  Dupliquez un onglet mensuel si vous voulez une version vierge de réserve.</t>
        </is>
      </c>
    </row>
    <row r="24" ht="18" customHeight="1">
      <c r="B24" s="3" t="inlineStr"/>
    </row>
    <row r="25" ht="18" customHeight="1">
      <c r="B25" s="6" t="inlineStr">
        <is>
          <t xml:space="preserve">  Bon suivi ! 💚</t>
        </is>
      </c>
    </row>
  </sheetData>
  <mergeCells count="1">
    <mergeCell ref="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D5C48"/>
    <outlinePr summaryBelow="1" summaryRight="1"/>
    <pageSetUpPr/>
  </sheetPr>
  <dimension ref="B2:E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3" customWidth="1" min="6" max="6"/>
  </cols>
  <sheetData>
    <row r="1" ht="8" customHeight="1"/>
    <row r="2" ht="32" customHeight="1">
      <c r="B2" s="7" t="inlineStr">
        <is>
          <t>💼  REVENUS &amp; ÉPARGNE  —  Annuel</t>
        </is>
      </c>
    </row>
    <row r="3" ht="20" customHeight="1">
      <c r="B3" s="8" t="inlineStr">
        <is>
          <t>Mois</t>
        </is>
      </c>
      <c r="C3" s="8" t="inlineStr">
        <is>
          <t>Revenus nets</t>
        </is>
      </c>
      <c r="D3" s="8" t="inlineStr">
        <is>
          <t>Objectif épargne</t>
        </is>
      </c>
      <c r="E3" s="8" t="inlineStr">
        <is>
          <t>Épargne réelle</t>
        </is>
      </c>
    </row>
    <row r="4" ht="18" customHeight="1">
      <c r="B4" s="9" t="inlineStr">
        <is>
          <t>Janvier</t>
        </is>
      </c>
      <c r="C4" s="10" t="n">
        <v>0</v>
      </c>
      <c r="D4" s="10" t="n">
        <v>0</v>
      </c>
      <c r="E4" s="11">
        <f>C4-Janvier!C10</f>
        <v/>
      </c>
    </row>
    <row r="5" ht="18" customHeight="1">
      <c r="B5" s="12" t="inlineStr">
        <is>
          <t>Février</t>
        </is>
      </c>
      <c r="C5" s="10" t="n">
        <v>0</v>
      </c>
      <c r="D5" s="10" t="n">
        <v>0</v>
      </c>
      <c r="E5" s="13">
        <f>C5-Fevrier!C10</f>
        <v/>
      </c>
    </row>
    <row r="6" ht="18" customHeight="1">
      <c r="B6" s="9" t="inlineStr">
        <is>
          <t>Mars</t>
        </is>
      </c>
      <c r="C6" s="10" t="n">
        <v>0</v>
      </c>
      <c r="D6" s="10" t="n">
        <v>0</v>
      </c>
      <c r="E6" s="11">
        <f>C6-Mars!C10</f>
        <v/>
      </c>
    </row>
    <row r="7" ht="18" customHeight="1">
      <c r="B7" s="12" t="inlineStr">
        <is>
          <t>Avril</t>
        </is>
      </c>
      <c r="C7" s="10" t="n">
        <v>0</v>
      </c>
      <c r="D7" s="10" t="n">
        <v>0</v>
      </c>
      <c r="E7" s="13">
        <f>C7-Avril!C10</f>
        <v/>
      </c>
    </row>
    <row r="8" ht="18" customHeight="1">
      <c r="B8" s="9" t="inlineStr">
        <is>
          <t>Mai</t>
        </is>
      </c>
      <c r="C8" s="10" t="n">
        <v>0</v>
      </c>
      <c r="D8" s="10" t="n">
        <v>0</v>
      </c>
      <c r="E8" s="11">
        <f>C8-Mai!C10</f>
        <v/>
      </c>
    </row>
    <row r="9" ht="18" customHeight="1">
      <c r="B9" s="12" t="inlineStr">
        <is>
          <t>Juin</t>
        </is>
      </c>
      <c r="C9" s="10" t="n">
        <v>0</v>
      </c>
      <c r="D9" s="10" t="n">
        <v>0</v>
      </c>
      <c r="E9" s="13">
        <f>C9-Juin!C10</f>
        <v/>
      </c>
    </row>
    <row r="10" ht="18" customHeight="1">
      <c r="B10" s="9" t="inlineStr">
        <is>
          <t>Juillet</t>
        </is>
      </c>
      <c r="C10" s="10" t="n">
        <v>0</v>
      </c>
      <c r="D10" s="10" t="n">
        <v>0</v>
      </c>
      <c r="E10" s="11">
        <f>C10-Juillet!C10</f>
        <v/>
      </c>
    </row>
    <row r="11" ht="18" customHeight="1">
      <c r="B11" s="12" t="inlineStr">
        <is>
          <t>Août</t>
        </is>
      </c>
      <c r="C11" s="10" t="n">
        <v>0</v>
      </c>
      <c r="D11" s="10" t="n">
        <v>0</v>
      </c>
      <c r="E11" s="13">
        <f>C11-Aout!C10</f>
        <v/>
      </c>
    </row>
    <row r="12" ht="18" customHeight="1">
      <c r="B12" s="9" t="inlineStr">
        <is>
          <t>Septembre</t>
        </is>
      </c>
      <c r="C12" s="10" t="n">
        <v>0</v>
      </c>
      <c r="D12" s="10" t="n">
        <v>0</v>
      </c>
      <c r="E12" s="11">
        <f>C12-Septembre!C10</f>
        <v/>
      </c>
    </row>
    <row r="13" ht="18" customHeight="1">
      <c r="B13" s="12" t="inlineStr">
        <is>
          <t>Octobre</t>
        </is>
      </c>
      <c r="C13" s="10" t="n">
        <v>0</v>
      </c>
      <c r="D13" s="10" t="n">
        <v>0</v>
      </c>
      <c r="E13" s="13">
        <f>C13-Octobre!C10</f>
        <v/>
      </c>
    </row>
    <row r="14" ht="18" customHeight="1">
      <c r="B14" s="9" t="inlineStr">
        <is>
          <t>Novembre</t>
        </is>
      </c>
      <c r="C14" s="10" t="n">
        <v>0</v>
      </c>
      <c r="D14" s="10" t="n">
        <v>0</v>
      </c>
      <c r="E14" s="11">
        <f>C14-Novembre!C10</f>
        <v/>
      </c>
    </row>
    <row r="15" ht="18" customHeight="1">
      <c r="B15" s="12" t="inlineStr">
        <is>
          <t>Décembre</t>
        </is>
      </c>
      <c r="C15" s="10" t="n">
        <v>0</v>
      </c>
      <c r="D15" s="10" t="n">
        <v>0</v>
      </c>
      <c r="E15" s="13">
        <f>C15-Decembre!C10</f>
        <v/>
      </c>
    </row>
    <row r="16" ht="22" customHeight="1">
      <c r="B16" s="14" t="inlineStr">
        <is>
          <t>TOTAL ANNUEL</t>
        </is>
      </c>
      <c r="C16" s="15">
        <f>SUM(C4:C15)</f>
        <v/>
      </c>
      <c r="D16" s="15">
        <f>SUM(D4:D15)</f>
        <v/>
      </c>
      <c r="E16" s="15">
        <f>SUM(E4:E15)</f>
        <v/>
      </c>
    </row>
  </sheetData>
  <mergeCells count="1"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JANVIER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FÉVRIER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MARS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AVRIL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MAI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JUIN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JUILLET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AOÛT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SEPTEMBRE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OCTOBRE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NOVEMBRE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5C7A6B"/>
    <outlinePr summaryBelow="1" summaryRight="1"/>
    <pageSetUpPr/>
  </sheetPr>
  <dimension ref="B2:H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9" customWidth="1" min="6" max="6"/>
    <col width="26" customWidth="1" min="7" max="7"/>
    <col width="8" customWidth="1" min="8" max="8"/>
    <col width="3" customWidth="1" min="9" max="9"/>
  </cols>
  <sheetData>
    <row r="1" ht="8" customHeight="1"/>
    <row r="2" ht="34" customHeight="1">
      <c r="B2" s="16" t="inlineStr">
        <is>
          <t>📅  DÉCEMBRE  —  Suivi de dépenses</t>
        </is>
      </c>
    </row>
    <row r="3" ht="20" customHeight="1">
      <c r="B3" s="17" t="inlineStr">
        <is>
          <t>Catégorie</t>
        </is>
      </c>
      <c r="C3" s="17" t="inlineStr">
        <is>
          <t>Budget prévu</t>
        </is>
      </c>
      <c r="D3" s="17" t="inlineStr">
        <is>
          <t>Dépensé réel</t>
        </is>
      </c>
      <c r="E3" s="17" t="inlineStr">
        <is>
          <t>Restant</t>
        </is>
      </c>
      <c r="F3" s="17" t="inlineStr">
        <is>
          <t>% utilisé</t>
        </is>
      </c>
      <c r="G3" s="17" t="inlineStr">
        <is>
          <t>▓▓▓▓ Progression</t>
        </is>
      </c>
      <c r="H3" s="17" t="inlineStr">
        <is>
          <t>🚦</t>
        </is>
      </c>
    </row>
    <row r="4" ht="20" customHeight="1">
      <c r="B4" s="9" t="inlineStr">
        <is>
          <t>🏠 Logement</t>
        </is>
      </c>
      <c r="C4" s="10" t="n">
        <v>900</v>
      </c>
      <c r="D4" s="18" t="n">
        <v>0</v>
      </c>
      <c r="E4" s="11">
        <f>C4-D4</f>
        <v/>
      </c>
      <c r="F4" s="19">
        <f>IF(C4=0,0,D4/C4)</f>
        <v/>
      </c>
      <c r="G4" s="20">
        <f>IF(C4=0,"—",REPT("▓",MIN(20,INT(D4/C4*20)))&amp;REPT("░",MAX(0,20-MIN(20,INT(D4/C4*20)))))</f>
        <v/>
      </c>
      <c r="H4" s="21">
        <f>IF(D4=0,"⬜",IF(D4/C4&lt;0.8,"🟢",IF(D4/C4&lt;=1,"🟡","🔴")))</f>
        <v/>
      </c>
    </row>
    <row r="5" ht="20" customHeight="1">
      <c r="B5" s="12" t="inlineStr">
        <is>
          <t>🛒 Alimentation</t>
        </is>
      </c>
      <c r="C5" s="10" t="n">
        <v>450</v>
      </c>
      <c r="D5" s="18" t="n">
        <v>0</v>
      </c>
      <c r="E5" s="13">
        <f>C5-D5</f>
        <v/>
      </c>
      <c r="F5" s="22">
        <f>IF(C5=0,0,D5/C5)</f>
        <v/>
      </c>
      <c r="G5" s="23">
        <f>IF(C5=0,"—",REPT("▓",MIN(20,INT(D5/C5*20)))&amp;REPT("░",MAX(0,20-MIN(20,INT(D5/C5*20)))))</f>
        <v/>
      </c>
      <c r="H5" s="24">
        <f>IF(D5=0,"⬜",IF(D5/C5&lt;0.8,"🟢",IF(D5/C5&lt;=1,"🟡","🔴")))</f>
        <v/>
      </c>
    </row>
    <row r="6" ht="20" customHeight="1">
      <c r="B6" s="9" t="inlineStr">
        <is>
          <t>🚗 Transport</t>
        </is>
      </c>
      <c r="C6" s="10" t="n">
        <v>200</v>
      </c>
      <c r="D6" s="18" t="n">
        <v>0</v>
      </c>
      <c r="E6" s="11">
        <f>C6-D6</f>
        <v/>
      </c>
      <c r="F6" s="19">
        <f>IF(C6=0,0,D6/C6)</f>
        <v/>
      </c>
      <c r="G6" s="20">
        <f>IF(C6=0,"—",REPT("▓",MIN(20,INT(D6/C6*20)))&amp;REPT("░",MAX(0,20-MIN(20,INT(D6/C6*20)))))</f>
        <v/>
      </c>
      <c r="H6" s="21">
        <f>IF(D6=0,"⬜",IF(D6/C6&lt;0.8,"🟢",IF(D6/C6&lt;=1,"🟡","🔴")))</f>
        <v/>
      </c>
    </row>
    <row r="7" ht="20" customHeight="1">
      <c r="B7" s="12" t="inlineStr">
        <is>
          <t>💊 Santé</t>
        </is>
      </c>
      <c r="C7" s="10" t="n">
        <v>100</v>
      </c>
      <c r="D7" s="18" t="n">
        <v>0</v>
      </c>
      <c r="E7" s="13">
        <f>C7-D7</f>
        <v/>
      </c>
      <c r="F7" s="22">
        <f>IF(C7=0,0,D7/C7)</f>
        <v/>
      </c>
      <c r="G7" s="23">
        <f>IF(C7=0,"—",REPT("▓",MIN(20,INT(D7/C7*20)))&amp;REPT("░",MAX(0,20-MIN(20,INT(D7/C7*20)))))</f>
        <v/>
      </c>
      <c r="H7" s="24">
        <f>IF(D7=0,"⬜",IF(D7/C7&lt;0.8,"🟢",IF(D7/C7&lt;=1,"🟡","🔴")))</f>
        <v/>
      </c>
    </row>
    <row r="8" ht="20" customHeight="1">
      <c r="B8" s="9" t="inlineStr">
        <is>
          <t>🎮 Loisirs</t>
        </is>
      </c>
      <c r="C8" s="10" t="n">
        <v>150</v>
      </c>
      <c r="D8" s="18" t="n">
        <v>0</v>
      </c>
      <c r="E8" s="11">
        <f>C8-D8</f>
        <v/>
      </c>
      <c r="F8" s="19">
        <f>IF(C8=0,0,D8/C8)</f>
        <v/>
      </c>
      <c r="G8" s="20">
        <f>IF(C8=0,"—",REPT("▓",MIN(20,INT(D8/C8*20)))&amp;REPT("░",MAX(0,20-MIN(20,INT(D8/C8*20)))))</f>
        <v/>
      </c>
      <c r="H8" s="21">
        <f>IF(D8=0,"⬜",IF(D8/C8&lt;0.8,"🟢",IF(D8/C8&lt;=1,"🟡","🔴")))</f>
        <v/>
      </c>
    </row>
    <row r="9" ht="20" customHeight="1">
      <c r="B9" s="12" t="inlineStr">
        <is>
          <t>📱 Abonnements</t>
        </is>
      </c>
      <c r="C9" s="10" t="n">
        <v>60</v>
      </c>
      <c r="D9" s="18" t="n">
        <v>0</v>
      </c>
      <c r="E9" s="13">
        <f>C9-D9</f>
        <v/>
      </c>
      <c r="F9" s="22">
        <f>IF(C9=0,0,D9/C9)</f>
        <v/>
      </c>
      <c r="G9" s="23">
        <f>IF(C9=0,"—",REPT("▓",MIN(20,INT(D9/C9*20)))&amp;REPT("░",MAX(0,20-MIN(20,INT(D9/C9*20)))))</f>
        <v/>
      </c>
      <c r="H9" s="24">
        <f>IF(D9=0,"⬜",IF(D9/C9&lt;0.8,"🟢",IF(D9/C9&lt;=1,"🟡","🔴")))</f>
        <v/>
      </c>
    </row>
    <row r="10" ht="20" customHeight="1">
      <c r="B10" s="9" t="inlineStr">
        <is>
          <t>👗 Shopping</t>
        </is>
      </c>
      <c r="C10" s="10" t="n">
        <v>120</v>
      </c>
      <c r="D10" s="18" t="n">
        <v>0</v>
      </c>
      <c r="E10" s="11">
        <f>C10-D10</f>
        <v/>
      </c>
      <c r="F10" s="19">
        <f>IF(C10=0,0,D10/C10)</f>
        <v/>
      </c>
      <c r="G10" s="20">
        <f>IF(C10=0,"—",REPT("▓",MIN(20,INT(D10/C10*20)))&amp;REPT("░",MAX(0,20-MIN(20,INT(D10/C10*20)))))</f>
        <v/>
      </c>
      <c r="H10" s="21">
        <f>IF(D10=0,"⬜",IF(D10/C10&lt;0.8,"🟢",IF(D10/C10&lt;=1,"🟡","🔴")))</f>
        <v/>
      </c>
    </row>
    <row r="11" ht="20" customHeight="1">
      <c r="B11" s="12" t="inlineStr">
        <is>
          <t>💡 Divers</t>
        </is>
      </c>
      <c r="C11" s="10" t="n">
        <v>80</v>
      </c>
      <c r="D11" s="18" t="n">
        <v>0</v>
      </c>
      <c r="E11" s="13">
        <f>C11-D11</f>
        <v/>
      </c>
      <c r="F11" s="22">
        <f>IF(C11=0,0,D11/C11)</f>
        <v/>
      </c>
      <c r="G11" s="23">
        <f>IF(C11=0,"—",REPT("▓",MIN(20,INT(D11/C11*20)))&amp;REPT("░",MAX(0,20-MIN(20,INT(D11/C11*20)))))</f>
        <v/>
      </c>
      <c r="H11" s="24">
        <f>IF(D11=0,"⬜",IF(D11/C11&lt;0.8,"🟢",IF(D11/C11&lt;=1,"🟡","🔴")))</f>
        <v/>
      </c>
    </row>
    <row r="12" ht="22" customHeight="1">
      <c r="B12" s="14" t="inlineStr">
        <is>
          <t>TOTAL</t>
        </is>
      </c>
      <c r="C12" s="15">
        <f>SUM(C4:C11)</f>
        <v/>
      </c>
      <c r="D12" s="15">
        <f>SUM(D4:D11)</f>
        <v/>
      </c>
      <c r="E12" s="15">
        <f>SUM(E4:E11)</f>
        <v/>
      </c>
      <c r="F12" s="25">
        <f>IF(C12=0,0,D12/C12)</f>
        <v/>
      </c>
      <c r="G12" s="26">
        <f>IF(C12=0,"—",REPT("▓",MIN(20,INT(D12/C12*20)))&amp;REPT("░",MAX(0,20-MIN(20,INT(D12/C12*20)))))</f>
        <v/>
      </c>
      <c r="H12" s="27">
        <f>IF(D12=0,"⬜",IF(D12/C12&lt;0.8,"🟢",IF(D12/C12&lt;=1,"🟡","🔴")))</f>
        <v/>
      </c>
    </row>
    <row r="13" ht="6" customHeight="1"/>
    <row r="14" ht="18" customHeight="1">
      <c r="B14" s="28" t="inlineStr">
        <is>
          <t xml:space="preserve">  💡  Saisissez uniquement la colonne « Dépensé réel » — tout se calcule automatiquement.</t>
        </is>
      </c>
    </row>
  </sheetData>
  <mergeCells count="2">
    <mergeCell ref="B14:H14"/>
    <mergeCell ref="B2:H2"/>
  </mergeCells>
  <conditionalFormatting sqref="E4:E11">
    <cfRule type="expression" priority="1" dxfId="0">
      <formula>E4&lt;0</formula>
    </cfRule>
    <cfRule type="expression" priority="2" dxfId="1">
      <formula>E4&gt;0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D4876B"/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8" customWidth="1" min="3" max="3"/>
    <col width="4" customWidth="1" min="4" max="4"/>
    <col width="20" customWidth="1" min="5" max="5"/>
    <col width="18" customWidth="1" min="6" max="6"/>
    <col width="4" customWidth="1" min="7" max="7"/>
    <col width="20" customWidth="1" min="8" max="8"/>
    <col width="18" customWidth="1" min="9" max="9"/>
    <col width="3" customWidth="1" min="10" max="10"/>
  </cols>
  <sheetData>
    <row r="1" ht="8" customHeight="1"/>
    <row r="2" ht="40" customHeight="1">
      <c r="B2" s="1" t="inlineStr">
        <is>
          <t>💰  EXPENSE PLANNER PRO  —  Vue d'ensemble annuelle</t>
        </is>
      </c>
    </row>
    <row r="3" ht="18" customHeight="1">
      <c r="B3" s="29" t="inlineStr">
        <is>
          <t>Toutes les données ci-dessous sont automatiques — aucune saisie nécessaire</t>
        </is>
      </c>
    </row>
    <row r="4" ht="10" customHeight="1"/>
    <row r="5" ht="24" customHeight="1">
      <c r="B5" s="30" t="inlineStr">
        <is>
          <t xml:space="preserve">  📊  INDICATEURS CLÉS</t>
        </is>
      </c>
    </row>
    <row r="6" ht="8" customHeight="1"/>
    <row r="7" ht="22" customHeight="1">
      <c r="B7" s="31" t="inlineStr">
        <is>
          <t>💼  Revenus annuels</t>
        </is>
      </c>
      <c r="E7" s="32" t="inlineStr">
        <is>
          <t>📅  Budget annuel</t>
        </is>
      </c>
      <c r="H7" s="33" t="inlineStr">
        <is>
          <t>💸  Total dépensé</t>
        </is>
      </c>
    </row>
    <row r="8" ht="32" customHeight="1">
      <c r="B8" s="34">
        <f>Revenus!C18</f>
        <v/>
      </c>
      <c r="E8" s="35">
        <f>SUM(Janvier!C12,Fevrier!C12,Mars!C12,Avril!C12,Mai!C12,Juin!C12,Juillet!C12,Aout!C12,Septembre!C12,Octobre!C12,Novembre!C12,Decembre!C12)</f>
        <v/>
      </c>
      <c r="H8" s="36">
        <f>SUM(Janvier!D12,Fevrier!D12,Mars!D12,Avril!D12,Mai!D12,Juin!D12,Juillet!D12,Aout!D12,Septembre!D12,Octobre!D12,Novembre!D12,Decembre!D12)</f>
        <v/>
      </c>
    </row>
    <row r="9" ht="10" customHeight="1"/>
    <row r="10" ht="22" customHeight="1">
      <c r="B10" s="37" t="inlineStr">
        <is>
          <t>💚  Épargne réelle</t>
        </is>
      </c>
      <c r="E10" s="33" t="inlineStr">
        <is>
          <t>📉  % Budget consommé</t>
        </is>
      </c>
      <c r="H10" s="32" t="inlineStr">
        <is>
          <t>🔺  Mois le plus dépensé</t>
        </is>
      </c>
    </row>
    <row r="11" ht="32" customHeight="1">
      <c r="B11" s="38">
        <f>Revenus!C18-SUM(Janvier!D12,Fevrier!D12,Mars!D12,Avril!D12,Mai!D12,Juin!D12,Juillet!D12,Aout!D12,Septembre!D12,Octobre!D12,Novembre!D12,Decembre!D12)</f>
        <v/>
      </c>
      <c r="E11" s="39">
        <f>IFERROR(SUM(Janvier!D12,Fevrier!D12,Mars!D12,Avril!D12,Mai!D12,Juin!D12,Juillet!D12,Aout!D12,Septembre!D12,Octobre!D12,Novembre!D12,Decembre!D12)/SUM(Janvier!C12,Fevrier!C12,Mars!C12,Avril!C12,Mai!C12,Juin!C12,Juillet!C12,Aout!C12,Septembre!C12,Octobre!C12,Novembre!C12,Decembre!C12),0)</f>
        <v/>
      </c>
      <c r="H11" s="35">
        <f>INDEX({"Jan";"Fév";"Mar";"Avr";"Mai";"Jun";"Jul";"Aoû";"Sep";"Oct";"Nov";"Déc"},MATCH(MAX(Janvier!D12,Fevrier!D12,Mars!D12,Avril!D12,Mai!D12,Juin!D12,Juillet!D12,Aout!D12,Septembre!D12,Octobre!D12,Novembre!D12,Decembre!D12),Janvier!D12:D12,0))</f>
        <v/>
      </c>
    </row>
    <row r="12" ht="14" customHeight="1"/>
    <row r="13" ht="24" customHeight="1">
      <c r="B13" s="30" t="inlineStr">
        <is>
          <t xml:space="preserve">  📈  GRAPHIQUES ANNUELS</t>
        </is>
      </c>
    </row>
    <row r="14" ht="8" customHeight="1"/>
    <row r="30" customHeight="1">
      <c r="B30" t="inlineStr">
        <is>
          <t>Mois</t>
        </is>
      </c>
      <c r="C30" t="inlineStr">
        <is>
          <t>Budget</t>
        </is>
      </c>
      <c r="D30" t="inlineStr">
        <is>
          <t>Dépensé</t>
        </is>
      </c>
    </row>
    <row r="31" customHeight="1">
      <c r="B31" t="inlineStr">
        <is>
          <t>Jan</t>
        </is>
      </c>
      <c r="C31">
        <f>'Janvier'!C12</f>
        <v/>
      </c>
      <c r="D31">
        <f>'Janvier'!D12</f>
        <v/>
      </c>
    </row>
    <row r="32" customHeight="1">
      <c r="B32" t="inlineStr">
        <is>
          <t>Fév</t>
        </is>
      </c>
      <c r="C32">
        <f>'Fevrier'!C12</f>
        <v/>
      </c>
      <c r="D32">
        <f>'Fevrier'!D12</f>
        <v/>
      </c>
    </row>
    <row r="33" customHeight="1">
      <c r="B33" t="inlineStr">
        <is>
          <t>Mar</t>
        </is>
      </c>
      <c r="C33">
        <f>'Mars'!C12</f>
        <v/>
      </c>
      <c r="D33">
        <f>'Mars'!D12</f>
        <v/>
      </c>
    </row>
    <row r="34" customHeight="1">
      <c r="B34" t="inlineStr">
        <is>
          <t>Avr</t>
        </is>
      </c>
      <c r="C34">
        <f>'Avril'!C12</f>
        <v/>
      </c>
      <c r="D34">
        <f>'Avril'!D12</f>
        <v/>
      </c>
    </row>
    <row r="35" customHeight="1">
      <c r="B35" t="inlineStr">
        <is>
          <t>Mai</t>
        </is>
      </c>
      <c r="C35">
        <f>'Mai'!C12</f>
        <v/>
      </c>
      <c r="D35">
        <f>'Mai'!D12</f>
        <v/>
      </c>
    </row>
    <row r="36" customHeight="1">
      <c r="B36" t="inlineStr">
        <is>
          <t>Jun</t>
        </is>
      </c>
      <c r="C36">
        <f>'Juin'!C12</f>
        <v/>
      </c>
      <c r="D36">
        <f>'Juin'!D12</f>
        <v/>
      </c>
    </row>
    <row r="37" customHeight="1">
      <c r="B37" t="inlineStr">
        <is>
          <t>Jul</t>
        </is>
      </c>
      <c r="C37">
        <f>'Juillet'!C12</f>
        <v/>
      </c>
      <c r="D37">
        <f>'Juillet'!D12</f>
        <v/>
      </c>
    </row>
    <row r="38" customHeight="1">
      <c r="B38" t="inlineStr">
        <is>
          <t>Aoû</t>
        </is>
      </c>
      <c r="C38">
        <f>'Aout'!C12</f>
        <v/>
      </c>
      <c r="D38">
        <f>'Aout'!D12</f>
        <v/>
      </c>
    </row>
    <row r="39" customHeight="1">
      <c r="B39" t="inlineStr">
        <is>
          <t>Sep</t>
        </is>
      </c>
      <c r="C39">
        <f>'Septembre'!C12</f>
        <v/>
      </c>
      <c r="D39">
        <f>'Septembre'!D12</f>
        <v/>
      </c>
    </row>
    <row r="40" customHeight="1">
      <c r="B40" t="inlineStr">
        <is>
          <t>Oct</t>
        </is>
      </c>
      <c r="C40">
        <f>'Octobre'!C12</f>
        <v/>
      </c>
      <c r="D40">
        <f>'Octobre'!D12</f>
        <v/>
      </c>
    </row>
    <row r="41" customHeight="1">
      <c r="B41" t="inlineStr">
        <is>
          <t>Nov</t>
        </is>
      </c>
      <c r="C41">
        <f>'Novembre'!C12</f>
        <v/>
      </c>
      <c r="D41">
        <f>'Novembre'!D12</f>
        <v/>
      </c>
    </row>
    <row r="42" customHeight="1">
      <c r="B42" t="inlineStr">
        <is>
          <t>Déc</t>
        </is>
      </c>
      <c r="C42">
        <f>'Decembre'!C12</f>
        <v/>
      </c>
      <c r="D42">
        <f>'Decembre'!D12</f>
        <v/>
      </c>
    </row>
    <row r="44" customHeight="1">
      <c r="B44" t="inlineStr">
        <is>
          <t>Catégorie</t>
        </is>
      </c>
      <c r="C44" t="inlineStr">
        <is>
          <t>Total</t>
        </is>
      </c>
    </row>
    <row r="45" customHeight="1">
      <c r="B45" t="inlineStr">
        <is>
          <t>🏠 Logement</t>
        </is>
      </c>
      <c r="C45">
        <f>'Janvier'!D4+'Fevrier'!D4+'Mars'!D4+'Avril'!D4+'Mai'!D4+'Juin'!D4+'Juillet'!D4+'Aout'!D4+'Septembre'!D4+'Octobre'!D4+'Novembre'!D4+'Decembre'!D4</f>
        <v/>
      </c>
    </row>
    <row r="46" customHeight="1">
      <c r="B46" t="inlineStr">
        <is>
          <t>🛒 Alimentation</t>
        </is>
      </c>
      <c r="C46">
        <f>'Janvier'!D5+'Fevrier'!D5+'Mars'!D5+'Avril'!D5+'Mai'!D5+'Juin'!D5+'Juillet'!D5+'Aout'!D5+'Septembre'!D5+'Octobre'!D5+'Novembre'!D5+'Decembre'!D5</f>
        <v/>
      </c>
    </row>
    <row r="47" customHeight="1">
      <c r="B47" t="inlineStr">
        <is>
          <t>🚗 Transport</t>
        </is>
      </c>
      <c r="C47">
        <f>'Janvier'!D6+'Fevrier'!D6+'Mars'!D6+'Avril'!D6+'Mai'!D6+'Juin'!D6+'Juillet'!D6+'Aout'!D6+'Septembre'!D6+'Octobre'!D6+'Novembre'!D6+'Decembre'!D6</f>
        <v/>
      </c>
    </row>
    <row r="48" customHeight="1">
      <c r="B48" t="inlineStr">
        <is>
          <t>💊 Santé</t>
        </is>
      </c>
      <c r="C48">
        <f>'Janvier'!D7+'Fevrier'!D7+'Mars'!D7+'Avril'!D7+'Mai'!D7+'Juin'!D7+'Juillet'!D7+'Aout'!D7+'Septembre'!D7+'Octobre'!D7+'Novembre'!D7+'Decembre'!D7</f>
        <v/>
      </c>
    </row>
    <row r="49" customHeight="1">
      <c r="B49" t="inlineStr">
        <is>
          <t>🎮 Loisirs</t>
        </is>
      </c>
      <c r="C49">
        <f>'Janvier'!D8+'Fevrier'!D8+'Mars'!D8+'Avril'!D8+'Mai'!D8+'Juin'!D8+'Juillet'!D8+'Aout'!D8+'Septembre'!D8+'Octobre'!D8+'Novembre'!D8+'Decembre'!D8</f>
        <v/>
      </c>
    </row>
    <row r="50" customHeight="1">
      <c r="B50" t="inlineStr">
        <is>
          <t>📱 Abonnements</t>
        </is>
      </c>
      <c r="C50">
        <f>'Janvier'!D9+'Fevrier'!D9+'Mars'!D9+'Avril'!D9+'Mai'!D9+'Juin'!D9+'Juillet'!D9+'Aout'!D9+'Septembre'!D9+'Octobre'!D9+'Novembre'!D9+'Decembre'!D9</f>
        <v/>
      </c>
    </row>
    <row r="51" customHeight="1">
      <c r="B51" t="inlineStr">
        <is>
          <t>👗 Shopping</t>
        </is>
      </c>
      <c r="C51">
        <f>'Janvier'!D10+'Fevrier'!D10+'Mars'!D10+'Avril'!D10+'Mai'!D10+'Juin'!D10+'Juillet'!D10+'Aout'!D10+'Septembre'!D10+'Octobre'!D10+'Novembre'!D10+'Decembre'!D10</f>
        <v/>
      </c>
    </row>
    <row r="52" customHeight="1">
      <c r="B52" t="inlineStr">
        <is>
          <t>💡 Divers</t>
        </is>
      </c>
      <c r="C52">
        <f>'Janvier'!D11+'Fevrier'!D11+'Mars'!D11+'Avril'!D11+'Mai'!D11+'Juin'!D11+'Juillet'!D11+'Aout'!D11+'Septembre'!D11+'Octobre'!D11+'Novembre'!D11+'Decembre'!D11</f>
        <v/>
      </c>
    </row>
  </sheetData>
  <mergeCells count="16">
    <mergeCell ref="B13:I13"/>
    <mergeCell ref="H11:I11"/>
    <mergeCell ref="B7:C7"/>
    <mergeCell ref="B11:C11"/>
    <mergeCell ref="E7:F7"/>
    <mergeCell ref="E10:F10"/>
    <mergeCell ref="H7:I7"/>
    <mergeCell ref="B2:I2"/>
    <mergeCell ref="B10:C10"/>
    <mergeCell ref="E11:F11"/>
    <mergeCell ref="H10:I10"/>
    <mergeCell ref="B3:I3"/>
    <mergeCell ref="B5:I5"/>
    <mergeCell ref="H8:I8"/>
    <mergeCell ref="B8:C8"/>
    <mergeCell ref="E8:F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2026-06-17T14:00:48Z</dcterms:created>
  <dcterms:modified xsi:type="dcterms:W3CDTF">2026-06-17T14:00:48Z</dcterms:modified>
</cp:coreProperties>
</file>