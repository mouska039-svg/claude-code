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vier" sheetId="2" state="visible" r:id="rId2"/>
    <sheet name="Fevrier" sheetId="3" state="visible" r:id="rId3"/>
    <sheet name="Mars" sheetId="4" state="visible" r:id="rId4"/>
    <sheet name="Avril" sheetId="5" state="visible" r:id="rId5"/>
    <sheet name="Mai" sheetId="6" state="visible" r:id="rId6"/>
    <sheet name="Juin" sheetId="7" state="visible" r:id="rId7"/>
    <sheet name="Juillet" sheetId="8" state="visible" r:id="rId8"/>
    <sheet name="Aout" sheetId="9" state="visible" r:id="rId9"/>
    <sheet name="Septembre" sheetId="10" state="visible" r:id="rId10"/>
    <sheet name="Octobre" sheetId="11" state="visible" r:id="rId11"/>
    <sheet name="Novembre" sheetId="12" state="visible" r:id="rId12"/>
    <sheet name="Decembre" sheetId="13" state="visible" r:id="rId13"/>
    <sheet name="S01" sheetId="14" state="visible" r:id="rId14"/>
    <sheet name="S02" sheetId="15" state="visible" r:id="rId15"/>
    <sheet name="S03" sheetId="16" state="visible" r:id="rId16"/>
    <sheet name="S04" sheetId="17" state="visible" r:id="rId17"/>
    <sheet name="S05" sheetId="18" state="visible" r:id="rId18"/>
    <sheet name="S06" sheetId="19" state="visible" r:id="rId19"/>
    <sheet name="S07" sheetId="20" state="visible" r:id="rId20"/>
    <sheet name="S08" sheetId="21" state="visible" r:id="rId21"/>
    <sheet name="S09" sheetId="22" state="visible" r:id="rId22"/>
    <sheet name="S10" sheetId="23" state="visible" r:id="rId23"/>
    <sheet name="S11" sheetId="24" state="visible" r:id="rId24"/>
    <sheet name="S12" sheetId="25" state="visible" r:id="rId25"/>
    <sheet name="S13" sheetId="26" state="visible" r:id="rId26"/>
    <sheet name="S14" sheetId="27" state="visible" r:id="rId27"/>
    <sheet name="S15" sheetId="28" state="visible" r:id="rId28"/>
    <sheet name="S16" sheetId="29" state="visible" r:id="rId29"/>
    <sheet name="S17" sheetId="30" state="visible" r:id="rId30"/>
    <sheet name="S18" sheetId="31" state="visible" r:id="rId31"/>
    <sheet name="S19" sheetId="32" state="visible" r:id="rId32"/>
    <sheet name="S20" sheetId="33" state="visible" r:id="rId33"/>
    <sheet name="S21" sheetId="34" state="visible" r:id="rId34"/>
    <sheet name="S22" sheetId="35" state="visible" r:id="rId35"/>
    <sheet name="S23" sheetId="36" state="visible" r:id="rId36"/>
    <sheet name="S24" sheetId="37" state="visible" r:id="rId37"/>
    <sheet name="S25" sheetId="38" state="visible" r:id="rId38"/>
    <sheet name="S26" sheetId="39" state="visible" r:id="rId39"/>
    <sheet name="S27" sheetId="40" state="visible" r:id="rId40"/>
    <sheet name="S28" sheetId="41" state="visible" r:id="rId41"/>
    <sheet name="S29" sheetId="42" state="visible" r:id="rId42"/>
    <sheet name="S30" sheetId="43" state="visible" r:id="rId43"/>
    <sheet name="S31" sheetId="44" state="visible" r:id="rId44"/>
    <sheet name="S32" sheetId="45" state="visible" r:id="rId45"/>
    <sheet name="S33" sheetId="46" state="visible" r:id="rId46"/>
    <sheet name="S34" sheetId="47" state="visible" r:id="rId47"/>
    <sheet name="S35" sheetId="48" state="visible" r:id="rId48"/>
    <sheet name="S36" sheetId="49" state="visible" r:id="rId49"/>
    <sheet name="S37" sheetId="50" state="visible" r:id="rId50"/>
    <sheet name="S38" sheetId="51" state="visible" r:id="rId51"/>
    <sheet name="S39" sheetId="52" state="visible" r:id="rId52"/>
    <sheet name="S40" sheetId="53" state="visible" r:id="rId53"/>
    <sheet name="S41" sheetId="54" state="visible" r:id="rId54"/>
    <sheet name="S42" sheetId="55" state="visible" r:id="rId55"/>
    <sheet name="S43" sheetId="56" state="visible" r:id="rId56"/>
    <sheet name="S44" sheetId="57" state="visible" r:id="rId57"/>
    <sheet name="S45" sheetId="58" state="visible" r:id="rId58"/>
    <sheet name="S46" sheetId="59" state="visible" r:id="rId59"/>
    <sheet name="S47" sheetId="60" state="visible" r:id="rId60"/>
    <sheet name="S48" sheetId="61" state="visible" r:id="rId61"/>
    <sheet name="S49" sheetId="62" state="visible" r:id="rId62"/>
    <sheet name="S50" sheetId="63" state="visible" r:id="rId63"/>
    <sheet name="S51" sheetId="64" state="visible" r:id="rId64"/>
    <sheet name="S52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A8C4B8"/>
      <sz val="9"/>
    </font>
    <font>
      <name val="Calibri"/>
      <b val="1"/>
      <color rgb="00D4876B"/>
      <sz val="9"/>
    </font>
    <font>
      <name val="Calibri"/>
      <color rgb="002C2C2A"/>
      <sz val="10"/>
    </font>
    <font>
      <name val="Calibri"/>
      <color rgb="00D4876B"/>
      <sz val="10"/>
    </font>
    <font>
      <name val="Calibri"/>
      <b val="1"/>
      <color rgb="002C2C2A"/>
      <sz val="10"/>
    </font>
    <font>
      <name val="Courier New"/>
      <color rgb="005C7A6B"/>
      <sz val="10"/>
    </font>
    <font>
      <name val="Calibri"/>
      <color rgb="002C2C2A"/>
      <sz val="12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ourier New"/>
      <b val="1"/>
      <color rgb="00A8C4B8"/>
      <sz val="10"/>
    </font>
    <font>
      <name val="Calibri"/>
      <color rgb="00FFFFFF"/>
      <sz val="12"/>
    </font>
    <font>
      <name val="Calibri"/>
      <b val="1"/>
      <color rgb="00FFFFFF"/>
      <sz val="14"/>
    </font>
    <font>
      <name val="Calibri"/>
      <i val="1"/>
      <color rgb="00A8C4B8"/>
      <sz val="9"/>
    </font>
    <font>
      <name val="Calibri"/>
      <color rgb="00FFFFFF"/>
      <sz val="9"/>
    </font>
    <font>
      <name val="Calibri"/>
      <b val="1"/>
      <color rgb="00FFFFFF"/>
      <sz val="20"/>
    </font>
  </fonts>
  <fills count="13">
    <fill>
      <patternFill/>
    </fill>
    <fill>
      <patternFill patternType="gray125"/>
    </fill>
    <fill>
      <patternFill patternType="solid">
        <fgColor rgb="001C3A2F"/>
      </patternFill>
    </fill>
    <fill>
      <patternFill patternType="solid">
        <fgColor rgb="005C7A6B"/>
      </patternFill>
    </fill>
    <fill>
      <patternFill patternType="solid">
        <fgColor rgb="00F3F8F5"/>
      </patternFill>
    </fill>
    <fill>
      <patternFill patternType="solid">
        <fgColor rgb="00FFF3E0"/>
      </patternFill>
    </fill>
    <fill>
      <patternFill patternType="solid">
        <fgColor rgb="002D5C48"/>
      </patternFill>
    </fill>
    <fill>
      <patternFill patternType="solid">
        <fgColor rgb="00FFFFFF"/>
      </patternFill>
    </fill>
    <fill>
      <patternFill patternType="solid">
        <fgColor rgb="00FFFDF7"/>
      </patternFill>
    </fill>
    <fill>
      <patternFill patternType="solid">
        <fgColor rgb="00FFF8F0"/>
      </patternFill>
    </fill>
    <fill>
      <patternFill patternType="solid">
        <fgColor rgb="00EDE5D8"/>
      </patternFill>
    </fill>
    <fill>
      <patternFill patternType="solid">
        <fgColor rgb="00D4876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4C9B8"/>
      </left>
      <right style="thin">
        <color rgb="00D4C9B8"/>
      </right>
      <top style="thin">
        <color rgb="00D4C9B8"/>
      </top>
      <bottom style="thin">
        <color rgb="00D4C9B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164" fontId="17" fillId="11" borderId="0" applyAlignment="1" pivotButton="0" quotePrefix="0" xfId="0">
      <alignment horizontal="center" vertical="center"/>
    </xf>
    <xf numFmtId="164" fontId="17" fillId="6" borderId="0" applyAlignment="1" pivotButton="0" quotePrefix="0" xfId="0">
      <alignment horizontal="center" vertical="center"/>
    </xf>
    <xf numFmtId="164" fontId="17" fillId="1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5" fontId="17" fillId="3" borderId="0" applyAlignment="1" pivotButton="0" quotePrefix="0" xfId="0">
      <alignment horizontal="center" vertical="center"/>
    </xf>
    <xf numFmtId="1" fontId="17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9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right" vertical="center"/>
    </xf>
    <xf numFmtId="9" fontId="5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164" fontId="10" fillId="2" borderId="1" applyAlignment="1" pivotButton="0" quotePrefix="0" xfId="0">
      <alignment horizontal="right" vertical="center"/>
    </xf>
    <xf numFmtId="9" fontId="10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9" fontId="10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color rgb="00C0392B"/>
      </font>
      <fill>
        <patternFill patternType="solid">
          <fgColor rgb="00FDE8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Dépensé vs Budget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'Dashboard'!C30</f>
            </strRef>
          </tx>
          <spPr>
            <a:solidFill>
              <a:srgbClr val="D4876B"/>
            </a:solidFill>
            <a:ln>
              <a:prstDash val="solid"/>
            </a:ln>
          </spPr>
          <cat>
            <numRef>
              <f>'Dashboard'!$B$31:$B$42</f>
            </numRef>
          </cat>
          <val>
            <numRef>
              <f>'Dashboard'!$C$31:$C$42</f>
            </numRef>
          </val>
        </ser>
        <ser>
          <idx val="1"/>
          <order val="1"/>
          <tx>
            <strRef>
              <f>'Dashboard'!D30</f>
            </strRef>
          </tx>
          <spPr>
            <a:solidFill>
              <a:srgbClr val="2D5C48"/>
            </a:solidFill>
            <a:ln>
              <a:prstDash val="solid"/>
            </a:ln>
          </spPr>
          <cat>
            <numRef>
              <f>'Dashboard'!$B$31:$B$42</f>
            </numRef>
          </cat>
          <val>
            <numRef>
              <f>'Dashboard'!$D$31:$D$42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4876B"/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  <col width="3" customWidth="1" min="10" max="10"/>
  </cols>
  <sheetData>
    <row r="1" ht="8" customHeight="1"/>
    <row r="2" ht="40" customHeight="1">
      <c r="B2" s="1" t="inlineStr">
        <is>
          <t>💰  WEEKLY EXPENSE PLANNER  —  Vue d'ensemble annuelle</t>
        </is>
      </c>
    </row>
    <row r="3" ht="18" customHeight="1">
      <c r="B3" s="2" t="inlineStr">
        <is>
          <t>Toutes les données ci-dessous sont automatiques</t>
        </is>
      </c>
    </row>
    <row r="4" ht="10" customHeight="1"/>
    <row r="5" ht="24" customHeight="1">
      <c r="B5" s="3" t="inlineStr">
        <is>
          <t xml:space="preserve">  📊  INDICATEURS CLÉS ANNUELS</t>
        </is>
      </c>
    </row>
    <row r="6" ht="8" customHeight="1"/>
    <row r="7" ht="22" customHeight="1">
      <c r="B7" s="4" t="inlineStr">
        <is>
          <t>💸  Total dépensé annuel</t>
        </is>
      </c>
      <c r="E7" s="5" t="inlineStr">
        <is>
          <t>📅  Budget annuel total</t>
        </is>
      </c>
      <c r="H7" s="6" t="inlineStr">
        <is>
          <t>💚  Économies estimées</t>
        </is>
      </c>
    </row>
    <row r="8" ht="32" customHeight="1">
      <c r="B8" s="7">
        <f>Janvier!C12+Fevrier!C12+Mars!C12+Avril!C12+Mai!C12+Juin!C12+Juillet!C12+Aout!C12+Septembre!C12+Octobre!C12+Novembre!C12+Decembre!C12</f>
        <v/>
      </c>
      <c r="E8" s="8">
        <f>Janvier!D12+Fevrier!D12+Mars!D12+Avril!D12+Mai!D12+Juin!D12+Juillet!D12+Aout!D12+Septembre!D12+Octobre!D12+Novembre!D12+Decembre!D12</f>
        <v/>
      </c>
      <c r="H8" s="9">
        <f>Janvier!D12+Fevrier!D12+Mars!D12+Avril!D12+Mai!D12+Juin!D12+Juillet!D12+Aout!D12+Septembre!D12+Octobre!D12+Novembre!D12+Decembre!D12-(Janvier!C12+Fevrier!C12+Mars!C12+Avril!C12+Mai!C12+Juin!C12+Juillet!C12+Aout!C12+Septembre!C12+Octobre!C12+Novembre!C12+Decembre!C12)</f>
        <v/>
      </c>
    </row>
    <row r="9" ht="10" customHeight="1"/>
    <row r="10" ht="22" customHeight="1">
      <c r="B10" s="10" t="inlineStr">
        <is>
          <t>📉  % Budget consommé</t>
        </is>
      </c>
      <c r="E10" s="11" t="inlineStr">
        <is>
          <t>📆  Semaines saisies</t>
        </is>
      </c>
      <c r="H10" s="4" t="inlineStr">
        <is>
          <t>🔢  Moy. / semaine</t>
        </is>
      </c>
    </row>
    <row r="11" ht="32" customHeight="1">
      <c r="B11" s="12">
        <f>IFERROR((Janvier!C12+Fevrier!C12+Mars!C12+Avril!C12+Mai!C12+Juin!C12+Juillet!C12+Aout!C12+Septembre!C12+Octobre!C12+Novembre!C12+Decembre!C12)/(Janvier!D12+Fevrier!D12+Mars!D12+Avril!D12+Mai!D12+Juin!D12+Juillet!D12+Aout!D12+Septembre!D12+Octobre!D12+Novembre!D12+Decembre!D12),0)</f>
        <v/>
      </c>
      <c r="E11" s="13">
        <f>COUNTA(S01:S52!J12)-COUNTIF(S01:S52!J12,0)</f>
        <v/>
      </c>
      <c r="H11" s="7">
        <f>IFERROR((Janvier!C12+Fevrier!C12+Mars!C12+Avril!C12+Mai!C12+Juin!C12+Juillet!C12+Aout!C12+Septembre!C12+Octobre!C12+Novembre!C12+Decembre!C12)/52,0)</f>
        <v/>
      </c>
    </row>
    <row r="12" ht="14" customHeight="1"/>
    <row r="13" ht="24" customHeight="1">
      <c r="B13" s="3" t="inlineStr">
        <is>
          <t xml:space="preserve">  📈  DÉPENSES PAR MOIS  (automatique)</t>
        </is>
      </c>
    </row>
    <row r="14" ht="8" customHeight="1"/>
    <row r="30" customHeight="1">
      <c r="B30" t="inlineStr">
        <is>
          <t>Mois</t>
        </is>
      </c>
      <c r="C30" t="inlineStr">
        <is>
          <t>Dépensé</t>
        </is>
      </c>
      <c r="D30" t="inlineStr">
        <is>
          <t>Budget</t>
        </is>
      </c>
    </row>
    <row r="31" customHeight="1">
      <c r="B31" t="inlineStr">
        <is>
          <t>Jan</t>
        </is>
      </c>
      <c r="C31">
        <f>'Janvier'!C12</f>
        <v/>
      </c>
      <c r="D31">
        <f>'Janvier'!D12</f>
        <v/>
      </c>
    </row>
    <row r="32" customHeight="1">
      <c r="B32" t="inlineStr">
        <is>
          <t>Fév</t>
        </is>
      </c>
      <c r="C32">
        <f>'Fevrier'!C12</f>
        <v/>
      </c>
      <c r="D32">
        <f>'Fevrier'!D12</f>
        <v/>
      </c>
    </row>
    <row r="33" customHeight="1">
      <c r="B33" t="inlineStr">
        <is>
          <t>Mar</t>
        </is>
      </c>
      <c r="C33">
        <f>'Mars'!C12</f>
        <v/>
      </c>
      <c r="D33">
        <f>'Mars'!D12</f>
        <v/>
      </c>
    </row>
    <row r="34" customHeight="1">
      <c r="B34" t="inlineStr">
        <is>
          <t>Avr</t>
        </is>
      </c>
      <c r="C34">
        <f>'Avril'!C12</f>
        <v/>
      </c>
      <c r="D34">
        <f>'Avril'!D12</f>
        <v/>
      </c>
    </row>
    <row r="35" customHeight="1">
      <c r="B35" t="inlineStr">
        <is>
          <t>Mai</t>
        </is>
      </c>
      <c r="C35">
        <f>'Mai'!C12</f>
        <v/>
      </c>
      <c r="D35">
        <f>'Mai'!D12</f>
        <v/>
      </c>
    </row>
    <row r="36" customHeight="1">
      <c r="B36" t="inlineStr">
        <is>
          <t>Jun</t>
        </is>
      </c>
      <c r="C36">
        <f>'Juin'!C12</f>
        <v/>
      </c>
      <c r="D36">
        <f>'Juin'!D12</f>
        <v/>
      </c>
    </row>
    <row r="37" customHeight="1">
      <c r="B37" t="inlineStr">
        <is>
          <t>Jul</t>
        </is>
      </c>
      <c r="C37">
        <f>'Juillet'!C12</f>
        <v/>
      </c>
      <c r="D37">
        <f>'Juillet'!D12</f>
        <v/>
      </c>
    </row>
    <row r="38" customHeight="1">
      <c r="B38" t="inlineStr">
        <is>
          <t>Aoû</t>
        </is>
      </c>
      <c r="C38">
        <f>'Aout'!C12</f>
        <v/>
      </c>
      <c r="D38">
        <f>'Aout'!D12</f>
        <v/>
      </c>
    </row>
    <row r="39" customHeight="1">
      <c r="B39" t="inlineStr">
        <is>
          <t>Sep</t>
        </is>
      </c>
      <c r="C39">
        <f>'Septembre'!C12</f>
        <v/>
      </c>
      <c r="D39">
        <f>'Septembre'!D12</f>
        <v/>
      </c>
    </row>
    <row r="40" customHeight="1">
      <c r="B40" t="inlineStr">
        <is>
          <t>Oct</t>
        </is>
      </c>
      <c r="C40">
        <f>'Octobre'!C12</f>
        <v/>
      </c>
      <c r="D40">
        <f>'Octobre'!D12</f>
        <v/>
      </c>
    </row>
    <row r="41" customHeight="1">
      <c r="B41" t="inlineStr">
        <is>
          <t>Nov</t>
        </is>
      </c>
      <c r="C41">
        <f>'Novembre'!C12</f>
        <v/>
      </c>
      <c r="D41">
        <f>'Novembre'!D12</f>
        <v/>
      </c>
    </row>
    <row r="42" customHeight="1">
      <c r="B42" t="inlineStr">
        <is>
          <t>Déc</t>
        </is>
      </c>
      <c r="C42">
        <f>'Decembre'!C12</f>
        <v/>
      </c>
      <c r="D42">
        <f>'Decembre'!D12</f>
        <v/>
      </c>
    </row>
  </sheetData>
  <mergeCells count="16">
    <mergeCell ref="B13:I13"/>
    <mergeCell ref="H11:I11"/>
    <mergeCell ref="B7:C7"/>
    <mergeCell ref="B11:C11"/>
    <mergeCell ref="E7:F7"/>
    <mergeCell ref="E10:F10"/>
    <mergeCell ref="H7:I7"/>
    <mergeCell ref="B2:I2"/>
    <mergeCell ref="H10:I10"/>
    <mergeCell ref="B10:C10"/>
    <mergeCell ref="E11:F11"/>
    <mergeCell ref="B3:I3"/>
    <mergeCell ref="B5:I5"/>
    <mergeCell ref="H8:I8"/>
    <mergeCell ref="B8:C8"/>
    <mergeCell ref="E8:F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JANVIER  —  Récapitulatif mensuel (semaines 01–04)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S01!J4+S02!J4+S03!J4+S04!J4</f>
        <v/>
      </c>
      <c r="D4" s="18">
        <f>S01!K4+S02!K4+S03!K4+S04!K4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S01!J5+S02!J5+S03!J5+S04!J5</f>
        <v/>
      </c>
      <c r="D5" s="23">
        <f>S01!K5+S02!K5+S03!K5+S04!K5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S01!J6+S02!J6+S03!J6+S04!J6</f>
        <v/>
      </c>
      <c r="D6" s="18">
        <f>S01!K6+S02!K6+S03!K6+S04!K6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S01!J7+S02!J7+S03!J7+S04!J7</f>
        <v/>
      </c>
      <c r="D7" s="23">
        <f>S01!K7+S02!K7+S03!K7+S04!K7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S01!J8+S02!J8+S03!J8+S04!J8</f>
        <v/>
      </c>
      <c r="D8" s="18">
        <f>S01!K8+S02!K8+S03!K8+S04!K8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S01!J9+S02!J9+S03!J9+S04!J9</f>
        <v/>
      </c>
      <c r="D9" s="23">
        <f>S01!K9+S02!K9+S03!K9+S04!K9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S01!J10+S02!J10+S03!J10+S04!J10</f>
        <v/>
      </c>
      <c r="D10" s="18">
        <f>S01!K10+S02!K10+S03!K10+S04!K10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S01!J11+S02!J11+S03!J11+S04!J11</f>
        <v/>
      </c>
      <c r="D11" s="23">
        <f>S01!K11+S02!K11+S03!K11+S04!K11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FÉVRIER  —  Récapitulatif mensuel (semaines 05–08)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S05!J4+S06!J4+S07!J4+S08!J4</f>
        <v/>
      </c>
      <c r="D4" s="18">
        <f>S05!K4+S06!K4+S07!K4+S08!K4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S05!J5+S06!J5+S07!J5+S08!J5</f>
        <v/>
      </c>
      <c r="D5" s="23">
        <f>S05!K5+S06!K5+S07!K5+S08!K5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S05!J6+S06!J6+S07!J6+S08!J6</f>
        <v/>
      </c>
      <c r="D6" s="18">
        <f>S05!K6+S06!K6+S07!K6+S08!K6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S05!J7+S06!J7+S07!J7+S08!J7</f>
        <v/>
      </c>
      <c r="D7" s="23">
        <f>S05!K7+S06!K7+S07!K7+S08!K7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S05!J8+S06!J8+S07!J8+S08!J8</f>
        <v/>
      </c>
      <c r="D8" s="18">
        <f>S05!K8+S06!K8+S07!K8+S08!K8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S05!J9+S06!J9+S07!J9+S08!J9</f>
        <v/>
      </c>
      <c r="D9" s="23">
        <f>S05!K9+S06!K9+S07!K9+S08!K9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S05!J10+S06!J10+S07!J10+S08!J10</f>
        <v/>
      </c>
      <c r="D10" s="18">
        <f>S05!K10+S06!K10+S07!K10+S08!K10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S05!J11+S06!J11+S07!J11+S08!J11</f>
        <v/>
      </c>
      <c r="D11" s="23">
        <f>S05!K11+S06!K11+S07!K11+S08!K11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MARS  —  Récapitulatif mensuel (semaines 09–13)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S09!J4+S10!J4+S11!J4+S12!J4+S13!J4</f>
        <v/>
      </c>
      <c r="D4" s="18">
        <f>S09!K4+S10!K4+S11!K4+S12!K4+S13!K4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S09!J5+S10!J5+S11!J5+S12!J5+S13!J5</f>
        <v/>
      </c>
      <c r="D5" s="23">
        <f>S09!K5+S10!K5+S11!K5+S12!K5+S13!K5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S09!J6+S10!J6+S11!J6+S12!J6+S13!J6</f>
        <v/>
      </c>
      <c r="D6" s="18">
        <f>S09!K6+S10!K6+S11!K6+S12!K6+S13!K6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S09!J7+S10!J7+S11!J7+S12!J7+S13!J7</f>
        <v/>
      </c>
      <c r="D7" s="23">
        <f>S09!K7+S10!K7+S11!K7+S12!K7+S13!K7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S09!J8+S10!J8+S11!J8+S12!J8+S13!J8</f>
        <v/>
      </c>
      <c r="D8" s="18">
        <f>S09!K8+S10!K8+S11!K8+S12!K8+S13!K8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S09!J9+S10!J9+S11!J9+S12!J9+S13!J9</f>
        <v/>
      </c>
      <c r="D9" s="23">
        <f>S09!K9+S10!K9+S11!K9+S12!K9+S13!K9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S09!J10+S10!J10+S11!J10+S12!J10+S13!J10</f>
        <v/>
      </c>
      <c r="D10" s="18">
        <f>S09!K10+S10!K10+S11!K10+S12!K10+S13!K10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S09!J11+S10!J11+S11!J11+S12!J11+S13!J11</f>
        <v/>
      </c>
      <c r="D11" s="23">
        <f>S09!K11+S10!K11+S11!K11+S12!K11+S13!K11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AVRIL  —  Récapitulatif mensuel (semaines 14–17)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S14!J4+S15!J4+S16!J4+S17!J4</f>
        <v/>
      </c>
      <c r="D4" s="18">
        <f>S14!K4+S15!K4+S16!K4+S17!K4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S14!J5+S15!J5+S16!J5+S17!J5</f>
        <v/>
      </c>
      <c r="D5" s="23">
        <f>S14!K5+S15!K5+S16!K5+S17!K5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S14!J6+S15!J6+S16!J6+S17!J6</f>
        <v/>
      </c>
      <c r="D6" s="18">
        <f>S14!K6+S15!K6+S16!K6+S17!K6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S14!J7+S15!J7+S16!J7+S17!J7</f>
        <v/>
      </c>
      <c r="D7" s="23">
        <f>S14!K7+S15!K7+S16!K7+S17!K7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S14!J8+S15!J8+S16!J8+S17!J8</f>
        <v/>
      </c>
      <c r="D8" s="18">
        <f>S14!K8+S15!K8+S16!K8+S17!K8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S14!J9+S15!J9+S16!J9+S17!J9</f>
        <v/>
      </c>
      <c r="D9" s="23">
        <f>S14!K9+S15!K9+S16!K9+S17!K9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S14!J10+S15!J10+S16!J10+S17!J10</f>
        <v/>
      </c>
      <c r="D10" s="18">
        <f>S14!K10+S15!K10+S16!K10+S17!K10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S14!J11+S15!J11+S16!J11+S17!J11</f>
        <v/>
      </c>
      <c r="D11" s="23">
        <f>S14!K11+S15!K11+S16!K11+S17!K11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MAI  —  Récapitulatif mensuel (semaines 18–21)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S18!J4+S19!J4+S20!J4+S21!J4</f>
        <v/>
      </c>
      <c r="D4" s="18">
        <f>S18!K4+S19!K4+S20!K4+S21!K4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S18!J5+S19!J5+S20!J5+S21!J5</f>
        <v/>
      </c>
      <c r="D5" s="23">
        <f>S18!K5+S19!K5+S20!K5+S21!K5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S18!J6+S19!J6+S20!J6+S21!J6</f>
        <v/>
      </c>
      <c r="D6" s="18">
        <f>S18!K6+S19!K6+S20!K6+S21!K6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S18!J7+S19!J7+S20!J7+S21!J7</f>
        <v/>
      </c>
      <c r="D7" s="23">
        <f>S18!K7+S19!K7+S20!K7+S21!K7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S18!J8+S19!J8+S20!J8+S21!J8</f>
        <v/>
      </c>
      <c r="D8" s="18">
        <f>S18!K8+S19!K8+S20!K8+S21!K8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S18!J9+S19!J9+S20!J9+S21!J9</f>
        <v/>
      </c>
      <c r="D9" s="23">
        <f>S18!K9+S19!K9+S20!K9+S21!K9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S18!J10+S19!J10+S20!J10+S21!J10</f>
        <v/>
      </c>
      <c r="D10" s="18">
        <f>S18!K10+S19!K10+S20!K10+S21!K10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S18!J11+S19!J11+S20!J11+S21!J11</f>
        <v/>
      </c>
      <c r="D11" s="23">
        <f>S18!K11+S19!K11+S20!K11+S21!K11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JUIN  —  Récapitulatif mensuel (semaines 22–26)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S22!J4+S23!J4+S24!J4+S25!J4+S26!J4</f>
        <v/>
      </c>
      <c r="D4" s="18">
        <f>S22!K4+S23!K4+S24!K4+S25!K4+S26!K4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S22!J5+S23!J5+S24!J5+S25!J5+S26!J5</f>
        <v/>
      </c>
      <c r="D5" s="23">
        <f>S22!K5+S23!K5+S24!K5+S25!K5+S26!K5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S22!J6+S23!J6+S24!J6+S25!J6+S26!J6</f>
        <v/>
      </c>
      <c r="D6" s="18">
        <f>S22!K6+S23!K6+S24!K6+S25!K6+S26!K6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S22!J7+S23!J7+S24!J7+S25!J7+S26!J7</f>
        <v/>
      </c>
      <c r="D7" s="23">
        <f>S22!K7+S23!K7+S24!K7+S25!K7+S26!K7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S22!J8+S23!J8+S24!J8+S25!J8+S26!J8</f>
        <v/>
      </c>
      <c r="D8" s="18">
        <f>S22!K8+S23!K8+S24!K8+S25!K8+S26!K8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S22!J9+S23!J9+S24!J9+S25!J9+S26!J9</f>
        <v/>
      </c>
      <c r="D9" s="23">
        <f>S22!K9+S23!K9+S24!K9+S25!K9+S26!K9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S22!J10+S23!J10+S24!J10+S25!J10+S26!J10</f>
        <v/>
      </c>
      <c r="D10" s="18">
        <f>S22!K10+S23!K10+S24!K10+S25!K10+S26!K10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S22!J11+S23!J11+S24!J11+S25!J11+S26!J11</f>
        <v/>
      </c>
      <c r="D11" s="23">
        <f>S22!K11+S23!K11+S24!K11+S25!K11+S26!K11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JUILLET  —  Récapitulatif mensuel (semaines 27–30)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S27!J4+S28!J4+S29!J4+S30!J4</f>
        <v/>
      </c>
      <c r="D4" s="18">
        <f>S27!K4+S28!K4+S29!K4+S30!K4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S27!J5+S28!J5+S29!J5+S30!J5</f>
        <v/>
      </c>
      <c r="D5" s="23">
        <f>S27!K5+S28!K5+S29!K5+S30!K5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S27!J6+S28!J6+S29!J6+S30!J6</f>
        <v/>
      </c>
      <c r="D6" s="18">
        <f>S27!K6+S28!K6+S29!K6+S30!K6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S27!J7+S28!J7+S29!J7+S30!J7</f>
        <v/>
      </c>
      <c r="D7" s="23">
        <f>S27!K7+S28!K7+S29!K7+S30!K7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S27!J8+S28!J8+S29!J8+S30!J8</f>
        <v/>
      </c>
      <c r="D8" s="18">
        <f>S27!K8+S28!K8+S29!K8+S30!K8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S27!J9+S28!J9+S29!J9+S30!J9</f>
        <v/>
      </c>
      <c r="D9" s="23">
        <f>S27!K9+S28!K9+S29!K9+S30!K9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S27!J10+S28!J10+S29!J10+S30!J10</f>
        <v/>
      </c>
      <c r="D10" s="18">
        <f>S27!K10+S28!K10+S29!K10+S30!K10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S27!J11+S28!J11+S29!J11+S30!J11</f>
        <v/>
      </c>
      <c r="D11" s="23">
        <f>S27!K11+S28!K11+S29!K11+S30!K11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AOÛT  —  Récapitulatif mensuel (semaines 31–34)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S31!J4+S32!J4+S33!J4+S34!J4</f>
        <v/>
      </c>
      <c r="D4" s="18">
        <f>S31!K4+S32!K4+S33!K4+S34!K4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S31!J5+S32!J5+S33!J5+S34!J5</f>
        <v/>
      </c>
      <c r="D5" s="23">
        <f>S31!K5+S32!K5+S33!K5+S34!K5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S31!J6+S32!J6+S33!J6+S34!J6</f>
        <v/>
      </c>
      <c r="D6" s="18">
        <f>S31!K6+S32!K6+S33!K6+S34!K6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S31!J7+S32!J7+S33!J7+S34!J7</f>
        <v/>
      </c>
      <c r="D7" s="23">
        <f>S31!K7+S32!K7+S33!K7+S34!K7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S31!J8+S32!J8+S33!J8+S34!J8</f>
        <v/>
      </c>
      <c r="D8" s="18">
        <f>S31!K8+S32!K8+S33!K8+S34!K8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S31!J9+S32!J9+S33!J9+S34!J9</f>
        <v/>
      </c>
      <c r="D9" s="23">
        <f>S31!K9+S32!K9+S33!K9+S34!K9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S31!J10+S32!J10+S33!J10+S34!J10</f>
        <v/>
      </c>
      <c r="D10" s="18">
        <f>S31!K10+S32!K10+S33!K10+S34!K10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S31!J11+S32!J11+S33!J11+S34!J11</f>
        <v/>
      </c>
      <c r="D11" s="23">
        <f>S31!K11+S32!K11+S33!K11+S34!K11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SEPTEMBRE  —  Récapitulatif mensuel (semaines 35–39)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S35!J4+S36!J4+S37!J4+S38!J4+S39!J4</f>
        <v/>
      </c>
      <c r="D4" s="18">
        <f>S35!K4+S36!K4+S37!K4+S38!K4+S39!K4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S35!J5+S36!J5+S37!J5+S38!J5+S39!J5</f>
        <v/>
      </c>
      <c r="D5" s="23">
        <f>S35!K5+S36!K5+S37!K5+S38!K5+S39!K5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S35!J6+S36!J6+S37!J6+S38!J6+S39!J6</f>
        <v/>
      </c>
      <c r="D6" s="18">
        <f>S35!K6+S36!K6+S37!K6+S38!K6+S39!K6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S35!J7+S36!J7+S37!J7+S38!J7+S39!J7</f>
        <v/>
      </c>
      <c r="D7" s="23">
        <f>S35!K7+S36!K7+S37!K7+S38!K7+S39!K7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S35!J8+S36!J8+S37!J8+S38!J8+S39!J8</f>
        <v/>
      </c>
      <c r="D8" s="18">
        <f>S35!K8+S36!K8+S37!K8+S38!K8+S39!K8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S35!J9+S36!J9+S37!J9+S38!J9+S39!J9</f>
        <v/>
      </c>
      <c r="D9" s="23">
        <f>S35!K9+S36!K9+S37!K9+S38!K9+S39!K9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S35!J10+S36!J10+S37!J10+S38!J10+S39!J10</f>
        <v/>
      </c>
      <c r="D10" s="18">
        <f>S35!K10+S36!K10+S37!K10+S38!K10+S39!K10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S35!J11+S36!J11+S37!J11+S38!J11+S39!J11</f>
        <v/>
      </c>
      <c r="D11" s="23">
        <f>S35!K11+S36!K11+S37!K11+S38!K11+S39!K11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OCTOBRE  —  Récapitulatif mensuel (semaines 40–43)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S40!J4+S41!J4+S42!J4+S43!J4</f>
        <v/>
      </c>
      <c r="D4" s="18">
        <f>S40!K4+S41!K4+S42!K4+S43!K4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S40!J5+S41!J5+S42!J5+S43!J5</f>
        <v/>
      </c>
      <c r="D5" s="23">
        <f>S40!K5+S41!K5+S42!K5+S43!K5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S40!J6+S41!J6+S42!J6+S43!J6</f>
        <v/>
      </c>
      <c r="D6" s="18">
        <f>S40!K6+S41!K6+S42!K6+S43!K6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S40!J7+S41!J7+S42!J7+S43!J7</f>
        <v/>
      </c>
      <c r="D7" s="23">
        <f>S40!K7+S41!K7+S42!K7+S43!K7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S40!J8+S41!J8+S42!J8+S43!J8</f>
        <v/>
      </c>
      <c r="D8" s="18">
        <f>S40!K8+S41!K8+S42!K8+S43!K8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S40!J9+S41!J9+S42!J9+S43!J9</f>
        <v/>
      </c>
      <c r="D9" s="23">
        <f>S40!K9+S41!K9+S42!K9+S43!K9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S40!J10+S41!J10+S42!J10+S43!J10</f>
        <v/>
      </c>
      <c r="D10" s="18">
        <f>S40!K10+S41!K10+S42!K10+S43!K10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S40!J11+S41!J11+S42!J11+S43!J11</f>
        <v/>
      </c>
      <c r="D11" s="23">
        <f>S40!K11+S41!K11+S42!K11+S43!K11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NOVEMBRE  —  Récapitulatif mensuel (semaines 44–47)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S44!J4+S45!J4+S46!J4+S47!J4</f>
        <v/>
      </c>
      <c r="D4" s="18">
        <f>S44!K4+S45!K4+S46!K4+S47!K4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S44!J5+S45!J5+S46!J5+S47!J5</f>
        <v/>
      </c>
      <c r="D5" s="23">
        <f>S44!K5+S45!K5+S46!K5+S47!K5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S44!J6+S45!J6+S46!J6+S47!J6</f>
        <v/>
      </c>
      <c r="D6" s="18">
        <f>S44!K6+S45!K6+S46!K6+S47!K6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S44!J7+S45!J7+S46!J7+S47!J7</f>
        <v/>
      </c>
      <c r="D7" s="23">
        <f>S44!K7+S45!K7+S46!K7+S47!K7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S44!J8+S45!J8+S46!J8+S47!J8</f>
        <v/>
      </c>
      <c r="D8" s="18">
        <f>S44!K8+S45!K8+S46!K8+S47!K8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S44!J9+S45!J9+S46!J9+S47!J9</f>
        <v/>
      </c>
      <c r="D9" s="23">
        <f>S44!K9+S45!K9+S46!K9+S47!K9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S44!J10+S45!J10+S46!J10+S47!J10</f>
        <v/>
      </c>
      <c r="D10" s="18">
        <f>S44!K10+S45!K10+S46!K10+S47!K10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S44!J11+S45!J11+S46!J11+S47!J11</f>
        <v/>
      </c>
      <c r="D11" s="23">
        <f>S44!K11+S45!K11+S46!K11+S47!K11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7A6B"/>
    <outlinePr summaryBelow="1" summaryRight="1"/>
    <pageSetUpPr/>
  </sheetPr>
  <dimension ref="B2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24" customWidth="1" min="7" max="7"/>
    <col width="8" customWidth="1" min="8" max="8"/>
    <col width="3" customWidth="1" min="9" max="9"/>
  </cols>
  <sheetData>
    <row r="1" ht="8" customHeight="1"/>
    <row r="2" ht="32" customHeight="1">
      <c r="B2" s="14" t="inlineStr">
        <is>
          <t>📅  DÉCEMBRE  —  Récapitulatif mensuel (semaines 48–52)</t>
        </is>
      </c>
    </row>
    <row r="3" ht="20" customHeight="1">
      <c r="B3" s="15" t="inlineStr">
        <is>
          <t>Catégorie</t>
        </is>
      </c>
      <c r="C3" s="15" t="inlineStr">
        <is>
          <t>Total dépensé</t>
        </is>
      </c>
      <c r="D3" s="15" t="inlineStr">
        <is>
          <t>Budget mensuel</t>
        </is>
      </c>
      <c r="E3" s="15" t="inlineStr">
        <is>
          <t>Restant</t>
        </is>
      </c>
      <c r="F3" s="15" t="inlineStr">
        <is>
          <t>% utilisé</t>
        </is>
      </c>
      <c r="G3" s="15" t="inlineStr">
        <is>
          <t>▓▓▓ Progression</t>
        </is>
      </c>
      <c r="H3" s="15" t="inlineStr">
        <is>
          <t>🚦</t>
        </is>
      </c>
    </row>
    <row r="4" ht="20" customHeight="1">
      <c r="B4" s="16" t="inlineStr">
        <is>
          <t>🏠 Logement</t>
        </is>
      </c>
      <c r="C4" s="17">
        <f>S48!J4+S49!J4+S50!J4+S51!J4+S52!J4</f>
        <v/>
      </c>
      <c r="D4" s="18">
        <f>S48!K4+S49!K4+S50!K4+S51!K4+S52!K4</f>
        <v/>
      </c>
      <c r="E4" s="18">
        <f>D4-C4</f>
        <v/>
      </c>
      <c r="F4" s="19">
        <f>IF(D4=0,0,C4/D4)</f>
        <v/>
      </c>
      <c r="G4" s="20">
        <f>IF(D4=0,"—",REPT("▓",MIN(20,INT(C4/D4*20)))&amp;REPT("░",MAX(0,20-MIN(20,INT(C4/D4*20)))))</f>
        <v/>
      </c>
      <c r="H4" s="21">
        <f>IF(C4=0,"⬜",IF(C4/D4&lt;0.8,"🟢",IF(C4/D4&lt;=1,"🟡","🔴")))</f>
        <v/>
      </c>
    </row>
    <row r="5" ht="20" customHeight="1">
      <c r="B5" s="22" t="inlineStr">
        <is>
          <t>🛒 Alimentation</t>
        </is>
      </c>
      <c r="C5" s="17">
        <f>S48!J5+S49!J5+S50!J5+S51!J5+S52!J5</f>
        <v/>
      </c>
      <c r="D5" s="23">
        <f>S48!K5+S49!K5+S50!K5+S51!K5+S52!K5</f>
        <v/>
      </c>
      <c r="E5" s="23">
        <f>D5-C5</f>
        <v/>
      </c>
      <c r="F5" s="24">
        <f>IF(D5=0,0,C5/D5)</f>
        <v/>
      </c>
      <c r="G5" s="25">
        <f>IF(D5=0,"—",REPT("▓",MIN(20,INT(C5/D5*20)))&amp;REPT("░",MAX(0,20-MIN(20,INT(C5/D5*20)))))</f>
        <v/>
      </c>
      <c r="H5" s="26">
        <f>IF(C5=0,"⬜",IF(C5/D5&lt;0.8,"🟢",IF(C5/D5&lt;=1,"🟡","🔴")))</f>
        <v/>
      </c>
    </row>
    <row r="6" ht="20" customHeight="1">
      <c r="B6" s="16" t="inlineStr">
        <is>
          <t>🚗 Transport</t>
        </is>
      </c>
      <c r="C6" s="17">
        <f>S48!J6+S49!J6+S50!J6+S51!J6+S52!J6</f>
        <v/>
      </c>
      <c r="D6" s="18">
        <f>S48!K6+S49!K6+S50!K6+S51!K6+S52!K6</f>
        <v/>
      </c>
      <c r="E6" s="18">
        <f>D6-C6</f>
        <v/>
      </c>
      <c r="F6" s="19">
        <f>IF(D6=0,0,C6/D6)</f>
        <v/>
      </c>
      <c r="G6" s="20">
        <f>IF(D6=0,"—",REPT("▓",MIN(20,INT(C6/D6*20)))&amp;REPT("░",MAX(0,20-MIN(20,INT(C6/D6*20)))))</f>
        <v/>
      </c>
      <c r="H6" s="21">
        <f>IF(C6=0,"⬜",IF(C6/D6&lt;0.8,"🟢",IF(C6/D6&lt;=1,"🟡","🔴")))</f>
        <v/>
      </c>
    </row>
    <row r="7" ht="20" customHeight="1">
      <c r="B7" s="22" t="inlineStr">
        <is>
          <t>💊 Santé</t>
        </is>
      </c>
      <c r="C7" s="17">
        <f>S48!J7+S49!J7+S50!J7+S51!J7+S52!J7</f>
        <v/>
      </c>
      <c r="D7" s="23">
        <f>S48!K7+S49!K7+S50!K7+S51!K7+S52!K7</f>
        <v/>
      </c>
      <c r="E7" s="23">
        <f>D7-C7</f>
        <v/>
      </c>
      <c r="F7" s="24">
        <f>IF(D7=0,0,C7/D7)</f>
        <v/>
      </c>
      <c r="G7" s="25">
        <f>IF(D7=0,"—",REPT("▓",MIN(20,INT(C7/D7*20)))&amp;REPT("░",MAX(0,20-MIN(20,INT(C7/D7*20)))))</f>
        <v/>
      </c>
      <c r="H7" s="26">
        <f>IF(C7=0,"⬜",IF(C7/D7&lt;0.8,"🟢",IF(C7/D7&lt;=1,"🟡","🔴")))</f>
        <v/>
      </c>
    </row>
    <row r="8" ht="20" customHeight="1">
      <c r="B8" s="16" t="inlineStr">
        <is>
          <t>🎮 Loisirs</t>
        </is>
      </c>
      <c r="C8" s="17">
        <f>S48!J8+S49!J8+S50!J8+S51!J8+S52!J8</f>
        <v/>
      </c>
      <c r="D8" s="18">
        <f>S48!K8+S49!K8+S50!K8+S51!K8+S52!K8</f>
        <v/>
      </c>
      <c r="E8" s="18">
        <f>D8-C8</f>
        <v/>
      </c>
      <c r="F8" s="19">
        <f>IF(D8=0,0,C8/D8)</f>
        <v/>
      </c>
      <c r="G8" s="20">
        <f>IF(D8=0,"—",REPT("▓",MIN(20,INT(C8/D8*20)))&amp;REPT("░",MAX(0,20-MIN(20,INT(C8/D8*20)))))</f>
        <v/>
      </c>
      <c r="H8" s="21">
        <f>IF(C8=0,"⬜",IF(C8/D8&lt;0.8,"🟢",IF(C8/D8&lt;=1,"🟡","🔴")))</f>
        <v/>
      </c>
    </row>
    <row r="9" ht="20" customHeight="1">
      <c r="B9" s="22" t="inlineStr">
        <is>
          <t>📱 Abonnements</t>
        </is>
      </c>
      <c r="C9" s="17">
        <f>S48!J9+S49!J9+S50!J9+S51!J9+S52!J9</f>
        <v/>
      </c>
      <c r="D9" s="23">
        <f>S48!K9+S49!K9+S50!K9+S51!K9+S52!K9</f>
        <v/>
      </c>
      <c r="E9" s="23">
        <f>D9-C9</f>
        <v/>
      </c>
      <c r="F9" s="24">
        <f>IF(D9=0,0,C9/D9)</f>
        <v/>
      </c>
      <c r="G9" s="25">
        <f>IF(D9=0,"—",REPT("▓",MIN(20,INT(C9/D9*20)))&amp;REPT("░",MAX(0,20-MIN(20,INT(C9/D9*20)))))</f>
        <v/>
      </c>
      <c r="H9" s="26">
        <f>IF(C9=0,"⬜",IF(C9/D9&lt;0.8,"🟢",IF(C9/D9&lt;=1,"🟡","🔴")))</f>
        <v/>
      </c>
    </row>
    <row r="10" ht="20" customHeight="1">
      <c r="B10" s="16" t="inlineStr">
        <is>
          <t>👗 Shopping</t>
        </is>
      </c>
      <c r="C10" s="17">
        <f>S48!J10+S49!J10+S50!J10+S51!J10+S52!J10</f>
        <v/>
      </c>
      <c r="D10" s="18">
        <f>S48!K10+S49!K10+S50!K10+S51!K10+S52!K10</f>
        <v/>
      </c>
      <c r="E10" s="18">
        <f>D10-C10</f>
        <v/>
      </c>
      <c r="F10" s="19">
        <f>IF(D10=0,0,C10/D10)</f>
        <v/>
      </c>
      <c r="G10" s="20">
        <f>IF(D10=0,"—",REPT("▓",MIN(20,INT(C10/D10*20)))&amp;REPT("░",MAX(0,20-MIN(20,INT(C10/D10*20)))))</f>
        <v/>
      </c>
      <c r="H10" s="21">
        <f>IF(C10=0,"⬜",IF(C10/D10&lt;0.8,"🟢",IF(C10/D10&lt;=1,"🟡","🔴")))</f>
        <v/>
      </c>
    </row>
    <row r="11" ht="20" customHeight="1">
      <c r="B11" s="22" t="inlineStr">
        <is>
          <t>💡 Divers</t>
        </is>
      </c>
      <c r="C11" s="17">
        <f>S48!J11+S49!J11+S50!J11+S51!J11+S52!J11</f>
        <v/>
      </c>
      <c r="D11" s="23">
        <f>S48!K11+S49!K11+S50!K11+S51!K11+S52!K11</f>
        <v/>
      </c>
      <c r="E11" s="23">
        <f>D11-C11</f>
        <v/>
      </c>
      <c r="F11" s="24">
        <f>IF(D11=0,0,C11/D11)</f>
        <v/>
      </c>
      <c r="G11" s="25">
        <f>IF(D11=0,"—",REPT("▓",MIN(20,INT(C11/D11*20)))&amp;REPT("░",MAX(0,20-MIN(20,INT(C11/D11*20)))))</f>
        <v/>
      </c>
      <c r="H11" s="26">
        <f>IF(C11=0,"⬜",IF(C11/D11&lt;0.8,"🟢",IF(C11/D11&lt;=1,"🟡","🔴")))</f>
        <v/>
      </c>
    </row>
    <row r="12" ht="22" customHeight="1">
      <c r="B12" s="27" t="inlineStr">
        <is>
          <t>TOTAL MENSUEL</t>
        </is>
      </c>
      <c r="C12" s="28">
        <f>SUM(C4:C11)</f>
        <v/>
      </c>
      <c r="D12" s="28">
        <f>SUM(D4:D11)</f>
        <v/>
      </c>
      <c r="E12" s="28">
        <f>SUM(E4:E11)</f>
        <v/>
      </c>
      <c r="F12" s="29">
        <f>IF(D12=0,0,C12/D12)</f>
        <v/>
      </c>
      <c r="G12" s="30">
        <f>IF(D12=0,"—",REPT("▓",MIN(20,INT(C12/D12*20)))&amp;REPT("░",MAX(0,20-MIN(20,INT(C12/D12*20)))))</f>
        <v/>
      </c>
      <c r="H12" s="31">
        <f>IF(C12=0,"⬜",IF(C12/D12&lt;0.8,"🟢",IF(C12/D12&lt;=1,"🟡","🔴")))</f>
        <v/>
      </c>
    </row>
  </sheetData>
  <mergeCells count="1">
    <mergeCell ref="B2:H2"/>
  </mergeCells>
  <conditionalFormatting sqref="E4:E11">
    <cfRule type="expression" priority="1" dxfId="0">
      <formula>E4&lt;0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03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04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05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06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07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08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09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10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13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14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15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16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17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18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19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20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23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24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25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26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27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28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29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30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33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34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35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36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37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38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39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40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43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44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45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46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47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48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49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50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51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2D5C48"/>
    <outlinePr summaryBelow="1" summaryRight="1"/>
    <pageSetUpPr/>
  </sheetPr>
  <dimension ref="B2:N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9" customWidth="1" min="12" max="12"/>
    <col width="24" customWidth="1" min="13" max="13"/>
    <col width="8" customWidth="1" min="14" max="14"/>
    <col width="3" customWidth="1" min="15" max="15"/>
  </cols>
  <sheetData>
    <row r="1" ht="8" customHeight="1"/>
    <row r="2" ht="34" customHeight="1">
      <c r="B2" s="32" t="inlineStr">
        <is>
          <t>📅  SEMAINE 52  —  Suivi de dépenses hebdomadaire</t>
        </is>
      </c>
    </row>
    <row r="3" ht="20" customHeight="1">
      <c r="B3" s="15" t="inlineStr">
        <is>
          <t>Catégorie</t>
        </is>
      </c>
      <c r="C3" s="15" t="inlineStr">
        <is>
          <t>Lun</t>
        </is>
      </c>
      <c r="D3" s="15" t="inlineStr">
        <is>
          <t>Mar</t>
        </is>
      </c>
      <c r="E3" s="15" t="inlineStr">
        <is>
          <t>Mer</t>
        </is>
      </c>
      <c r="F3" s="15" t="inlineStr">
        <is>
          <t>Jeu</t>
        </is>
      </c>
      <c r="G3" s="15" t="inlineStr">
        <is>
          <t>Ven</t>
        </is>
      </c>
      <c r="H3" s="33" t="inlineStr">
        <is>
          <t>Sam</t>
        </is>
      </c>
      <c r="I3" s="34" t="inlineStr">
        <is>
          <t>Dim</t>
        </is>
      </c>
      <c r="J3" s="35" t="inlineStr">
        <is>
          <t>Total sem.</t>
        </is>
      </c>
      <c r="K3" s="35" t="inlineStr">
        <is>
          <t>Budget sem.</t>
        </is>
      </c>
      <c r="L3" s="35" t="inlineStr">
        <is>
          <t>% utilisé</t>
        </is>
      </c>
      <c r="M3" s="35" t="inlineStr">
        <is>
          <t>▓▓▓ Progression</t>
        </is>
      </c>
      <c r="N3" s="35" t="inlineStr">
        <is>
          <t>🚦</t>
        </is>
      </c>
    </row>
    <row r="4" ht="20" customHeight="1">
      <c r="B4" s="16" t="inlineStr">
        <is>
          <t>🏠 Logement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36" t="n">
        <v>0</v>
      </c>
      <c r="I4" s="37" t="n">
        <v>0</v>
      </c>
      <c r="J4" s="38">
        <f>SUM(C4:I4)</f>
        <v/>
      </c>
      <c r="K4" s="17" t="n">
        <v>207</v>
      </c>
      <c r="L4" s="19">
        <f>IF(K4=0,0,J4/K4)</f>
        <v/>
      </c>
      <c r="M4" s="20">
        <f>IF(K4=0,"—",REPT("▓",MIN(20,INT(J4/K4*20)))&amp;REPT("░",MAX(0,20-MIN(20,INT(J4/K4*20)))))</f>
        <v/>
      </c>
      <c r="N4" s="21">
        <f>IF(J4=0,"⬜",IF(J4/K4&lt;0.8,"🟢",IF(J4/K4&lt;=1,"🟡","🔴")))</f>
        <v/>
      </c>
    </row>
    <row r="5" ht="20" customHeight="1">
      <c r="B5" s="22" t="inlineStr">
        <is>
          <t>🛒 Alimentation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36" t="n">
        <v>0</v>
      </c>
      <c r="I5" s="37" t="n">
        <v>0</v>
      </c>
      <c r="J5" s="39">
        <f>SUM(C5:I5)</f>
        <v/>
      </c>
      <c r="K5" s="17" t="n">
        <v>104</v>
      </c>
      <c r="L5" s="24">
        <f>IF(K5=0,0,J5/K5)</f>
        <v/>
      </c>
      <c r="M5" s="25">
        <f>IF(K5=0,"—",REPT("▓",MIN(20,INT(J5/K5*20)))&amp;REPT("░",MAX(0,20-MIN(20,INT(J5/K5*20)))))</f>
        <v/>
      </c>
      <c r="N5" s="26">
        <f>IF(J5=0,"⬜",IF(J5/K5&lt;0.8,"🟢",IF(J5/K5&lt;=1,"🟡","🔴")))</f>
        <v/>
      </c>
    </row>
    <row r="6" ht="20" customHeight="1">
      <c r="B6" s="16" t="inlineStr">
        <is>
          <t>🚗 Transport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36" t="n">
        <v>0</v>
      </c>
      <c r="I6" s="37" t="n">
        <v>0</v>
      </c>
      <c r="J6" s="38">
        <f>SUM(C6:I6)</f>
        <v/>
      </c>
      <c r="K6" s="17" t="n">
        <v>46</v>
      </c>
      <c r="L6" s="19">
        <f>IF(K6=0,0,J6/K6)</f>
        <v/>
      </c>
      <c r="M6" s="20">
        <f>IF(K6=0,"—",REPT("▓",MIN(20,INT(J6/K6*20)))&amp;REPT("░",MAX(0,20-MIN(20,INT(J6/K6*20)))))</f>
        <v/>
      </c>
      <c r="N6" s="21">
        <f>IF(J6=0,"⬜",IF(J6/K6&lt;0.8,"🟢",IF(J6/K6&lt;=1,"🟡","🔴")))</f>
        <v/>
      </c>
    </row>
    <row r="7" ht="20" customHeight="1">
      <c r="B7" s="22" t="inlineStr">
        <is>
          <t>💊 Santé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36" t="n">
        <v>0</v>
      </c>
      <c r="I7" s="37" t="n">
        <v>0</v>
      </c>
      <c r="J7" s="39">
        <f>SUM(C7:I7)</f>
        <v/>
      </c>
      <c r="K7" s="17" t="n">
        <v>23</v>
      </c>
      <c r="L7" s="24">
        <f>IF(K7=0,0,J7/K7)</f>
        <v/>
      </c>
      <c r="M7" s="25">
        <f>IF(K7=0,"—",REPT("▓",MIN(20,INT(J7/K7*20)))&amp;REPT("░",MAX(0,20-MIN(20,INT(J7/K7*20)))))</f>
        <v/>
      </c>
      <c r="N7" s="26">
        <f>IF(J7=0,"⬜",IF(J7/K7&lt;0.8,"🟢",IF(J7/K7&lt;=1,"🟡","🔴")))</f>
        <v/>
      </c>
    </row>
    <row r="8" ht="20" customHeight="1">
      <c r="B8" s="16" t="inlineStr">
        <is>
          <t>🎮 Loisirs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36" t="n">
        <v>0</v>
      </c>
      <c r="I8" s="37" t="n">
        <v>0</v>
      </c>
      <c r="J8" s="38">
        <f>SUM(C8:I8)</f>
        <v/>
      </c>
      <c r="K8" s="17" t="n">
        <v>35</v>
      </c>
      <c r="L8" s="19">
        <f>IF(K8=0,0,J8/K8)</f>
        <v/>
      </c>
      <c r="M8" s="20">
        <f>IF(K8=0,"—",REPT("▓",MIN(20,INT(J8/K8*20)))&amp;REPT("░",MAX(0,20-MIN(20,INT(J8/K8*20)))))</f>
        <v/>
      </c>
      <c r="N8" s="21">
        <f>IF(J8=0,"⬜",IF(J8/K8&lt;0.8,"🟢",IF(J8/K8&lt;=1,"🟡","🔴")))</f>
        <v/>
      </c>
    </row>
    <row r="9" ht="20" customHeight="1">
      <c r="B9" s="22" t="inlineStr">
        <is>
          <t>📱 Abonnements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36" t="n">
        <v>0</v>
      </c>
      <c r="I9" s="37" t="n">
        <v>0</v>
      </c>
      <c r="J9" s="39">
        <f>SUM(C9:I9)</f>
        <v/>
      </c>
      <c r="K9" s="17" t="n">
        <v>14</v>
      </c>
      <c r="L9" s="24">
        <f>IF(K9=0,0,J9/K9)</f>
        <v/>
      </c>
      <c r="M9" s="25">
        <f>IF(K9=0,"—",REPT("▓",MIN(20,INT(J9/K9*20)))&amp;REPT("░",MAX(0,20-MIN(20,INT(J9/K9*20)))))</f>
        <v/>
      </c>
      <c r="N9" s="26">
        <f>IF(J9=0,"⬜",IF(J9/K9&lt;0.8,"🟢",IF(J9/K9&lt;=1,"🟡","🔴")))</f>
        <v/>
      </c>
    </row>
    <row r="10" ht="20" customHeight="1">
      <c r="B10" s="16" t="inlineStr">
        <is>
          <t>👗 Shopping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36" t="n">
        <v>0</v>
      </c>
      <c r="I10" s="37" t="n">
        <v>0</v>
      </c>
      <c r="J10" s="38">
        <f>SUM(C10:I10)</f>
        <v/>
      </c>
      <c r="K10" s="17" t="n">
        <v>28</v>
      </c>
      <c r="L10" s="19">
        <f>IF(K10=0,0,J10/K10)</f>
        <v/>
      </c>
      <c r="M10" s="20">
        <f>IF(K10=0,"—",REPT("▓",MIN(20,INT(J10/K10*20)))&amp;REPT("░",MAX(0,20-MIN(20,INT(J10/K10*20)))))</f>
        <v/>
      </c>
      <c r="N10" s="21">
        <f>IF(J10=0,"⬜",IF(J10/K10&lt;0.8,"🟢",IF(J10/K10&lt;=1,"🟡","🔴")))</f>
        <v/>
      </c>
    </row>
    <row r="11" ht="20" customHeight="1">
      <c r="B11" s="22" t="inlineStr">
        <is>
          <t>💡 Divers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36" t="n">
        <v>0</v>
      </c>
      <c r="I11" s="37" t="n">
        <v>0</v>
      </c>
      <c r="J11" s="39">
        <f>SUM(C11:I11)</f>
        <v/>
      </c>
      <c r="K11" s="17" t="n">
        <v>18</v>
      </c>
      <c r="L11" s="24">
        <f>IF(K11=0,0,J11/K11)</f>
        <v/>
      </c>
      <c r="M11" s="25">
        <f>IF(K11=0,"—",REPT("▓",MIN(20,INT(J11/K11*20)))&amp;REPT("░",MAX(0,20-MIN(20,INT(J11/K11*20)))))</f>
        <v/>
      </c>
      <c r="N11" s="26">
        <f>IF(J11=0,"⬜",IF(J11/K11&lt;0.8,"🟢",IF(J11/K11&lt;=1,"🟡","🔴")))</f>
        <v/>
      </c>
    </row>
    <row r="12" ht="22" customHeight="1">
      <c r="B12" s="27" t="inlineStr">
        <is>
          <t>TOTAL SEMAINE</t>
        </is>
      </c>
      <c r="C12" s="28">
        <f>SUM(C4:C11)</f>
        <v/>
      </c>
      <c r="D12" s="28">
        <f>SUM(D4:D11)</f>
        <v/>
      </c>
      <c r="E12" s="28">
        <f>SUM(E4:E11)</f>
        <v/>
      </c>
      <c r="F12" s="28">
        <f>SUM(F4:F11)</f>
        <v/>
      </c>
      <c r="G12" s="28">
        <f>SUM(G4:G11)</f>
        <v/>
      </c>
      <c r="H12" s="28">
        <f>SUM(H4:H11)</f>
        <v/>
      </c>
      <c r="I12" s="28">
        <f>SUM(I4:I11)</f>
        <v/>
      </c>
      <c r="J12" s="40">
        <f>SUM(J4:J11)</f>
        <v/>
      </c>
      <c r="K12" s="28">
        <f>SUM(K4:K11)</f>
        <v/>
      </c>
      <c r="L12" s="41">
        <f>IF(K12=0,0,J12/K12)</f>
        <v/>
      </c>
      <c r="M12" s="30">
        <f>IF(K12=0,"—",REPT("▓",MIN(20,INT(J12/K12*20)))&amp;REPT("░",MAX(0,20-MIN(20,INT(J12/K12*20)))))</f>
        <v/>
      </c>
      <c r="N12" s="31">
        <f>IF(J12=0,"⬜",IF(J12/K12&lt;0.8,"🟢",IF(J12/K12&lt;=1,"🟡","🔴")))</f>
        <v/>
      </c>
    </row>
  </sheetData>
  <mergeCells count="2">
    <mergeCell ref="B3"/>
    <mergeCell ref="B2:N2"/>
  </mergeCells>
  <conditionalFormatting sqref="J4:J11">
    <cfRule type="expression" priority="1" dxfId="0">
      <formula>J4&gt;K4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2026-06-17T14:00:48Z</dcterms:created>
  <dcterms:modified xsi:type="dcterms:W3CDTF">2026-06-17T14:00:50Z</dcterms:modified>
</cp:coreProperties>
</file>