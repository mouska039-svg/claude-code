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📝 Transactions" sheetId="2" state="visible" r:id="rId2"/>
    <sheet name="⚙️ Paramè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€"/>
    <numFmt numFmtId="165" formatCode="yyyy-mm-dd"/>
    <numFmt numFmtId="166" formatCode="dd/mm/yyyy"/>
    <numFmt numFmtId="167" formatCode="#,##0.00 €"/>
    <numFmt numFmtId="168" formatCode="0.0%"/>
    <numFmt numFmtId="169" formatCode="0 j"/>
  </numFmts>
  <fonts count="3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2C2C2A"/>
      <sz val="10"/>
    </font>
    <font>
      <name val="Calibri"/>
      <color rgb="002C2C2A"/>
      <sz val="9"/>
    </font>
    <font>
      <name val="Calibri"/>
      <i val="1"/>
      <color rgb="002E6B4F"/>
      <sz val="9"/>
    </font>
    <font>
      <name val="Calibri"/>
      <b val="1"/>
      <color rgb="00C0392B"/>
      <sz val="10"/>
    </font>
    <font>
      <name val="Calibri"/>
      <color rgb="008B8A87"/>
      <sz val="9"/>
    </font>
    <font>
      <name val="Calibri"/>
      <b val="1"/>
      <color rgb="0027AE60"/>
      <sz val="10"/>
    </font>
    <font>
      <name val="Calibri"/>
      <b val="1"/>
      <color rgb="00FFFFFF"/>
      <sz val="22"/>
    </font>
    <font>
      <name val="Calibri"/>
      <b val="1"/>
      <color rgb="00E8B84B"/>
      <sz val="13"/>
    </font>
    <font>
      <name val="Calibri"/>
      <color rgb="00A8C4B8"/>
      <sz val="11"/>
    </font>
    <font>
      <name val="Calibri"/>
      <b val="1"/>
      <color rgb="00FFFFFF"/>
      <sz val="10"/>
    </font>
    <font>
      <name val="Calibri"/>
      <color rgb="00A8C4B8"/>
      <sz val="9"/>
    </font>
    <font>
      <name val="Calibri"/>
      <color rgb="00FFFFFF"/>
      <sz val="8"/>
    </font>
    <font>
      <name val="Calibri"/>
      <b val="1"/>
      <color rgb="00FFFFFF"/>
      <sz val="18"/>
    </font>
    <font>
      <name val="Calibri"/>
      <color rgb="00E8B84B"/>
      <sz val="8"/>
    </font>
    <font>
      <name val="Calibri"/>
      <b val="1"/>
      <color rgb="00E8B84B"/>
      <sz val="18"/>
    </font>
    <font>
      <name val="Calibri"/>
      <color rgb="00A8C4B8"/>
      <sz val="8"/>
    </font>
    <font>
      <name val="Calibri"/>
      <b val="1"/>
      <color rgb="00E8B84B"/>
      <sz val="14"/>
    </font>
    <font>
      <name val="Calibri"/>
      <b val="1"/>
      <color rgb="00D4876B"/>
      <sz val="10"/>
    </font>
    <font>
      <name val="Courier New"/>
      <color rgb="005C7A6B"/>
      <sz val="9"/>
    </font>
    <font>
      <name val="Calibri"/>
      <color rgb="002C2C2A"/>
      <sz val="12"/>
    </font>
    <font>
      <name val="Calibri"/>
      <color rgb="008B8A87"/>
      <sz val="10"/>
    </font>
    <font>
      <name val="Courier New"/>
      <b val="1"/>
      <color rgb="00A8C4B8"/>
      <sz val="9"/>
    </font>
    <font>
      <name val="Calibri"/>
      <color rgb="00FFFFFF"/>
      <sz val="12"/>
    </font>
    <font>
      <name val="Calibri"/>
      <color rgb="002E6B4F"/>
      <sz val="10"/>
    </font>
    <font>
      <name val="Courier New"/>
      <color rgb="00D4876B"/>
      <sz val="9"/>
    </font>
    <font>
      <name val="Calibri"/>
      <b val="1"/>
      <color rgb="008B8A87"/>
      <sz val="11"/>
    </font>
    <font>
      <name val="Calibri"/>
      <b val="1"/>
      <color rgb="002C2C2A"/>
      <sz val="9"/>
    </font>
    <font>
      <name val="Calibri"/>
      <color rgb="008B8A87"/>
      <sz val="12"/>
    </font>
    <font>
      <name val="Calibri"/>
      <b val="1"/>
      <color rgb="0027AE60"/>
      <sz val="16"/>
    </font>
    <font>
      <name val="Calibri"/>
      <b val="1"/>
      <color rgb="005C7A6B"/>
      <sz val="12"/>
    </font>
    <font>
      <name val="Courier New"/>
      <b val="1"/>
      <color rgb="00A8C4B8"/>
      <sz val="13"/>
    </font>
    <font>
      <name val="Calibri"/>
      <i val="1"/>
      <color rgb="008B8A87"/>
      <sz val="8"/>
    </font>
    <font>
      <name val="Calibri"/>
      <i val="1"/>
      <color rgb="00A8C4B8"/>
      <sz val="8"/>
    </font>
  </fonts>
  <fills count="17">
    <fill>
      <patternFill/>
    </fill>
    <fill>
      <patternFill patternType="gray125"/>
    </fill>
    <fill>
      <patternFill patternType="solid">
        <fgColor rgb="001A2E1E"/>
      </patternFill>
    </fill>
    <fill>
      <patternFill patternType="solid">
        <fgColor rgb="005C7A6B"/>
      </patternFill>
    </fill>
    <fill>
      <patternFill patternType="solid">
        <fgColor rgb="00FFFFFF"/>
      </patternFill>
    </fill>
    <fill>
      <patternFill patternType="solid">
        <fgColor rgb="00F5EFE6"/>
      </patternFill>
    </fill>
    <fill>
      <patternFill patternType="solid">
        <fgColor rgb="00EDE5D8"/>
      </patternFill>
    </fill>
    <fill>
      <patternFill patternType="solid">
        <fgColor rgb="002E6B4F"/>
      </patternFill>
    </fill>
    <fill>
      <patternFill patternType="solid">
        <fgColor rgb="00FBF0C7"/>
      </patternFill>
    </fill>
    <fill>
      <patternFill patternType="solid">
        <fgColor rgb="00D8EBE4"/>
      </patternFill>
    </fill>
    <fill>
      <patternFill patternType="solid">
        <fgColor rgb="00FBF0EB"/>
      </patternFill>
    </fill>
    <fill>
      <patternFill patternType="solid">
        <fgColor rgb="00E8F5EE"/>
      </patternFill>
    </fill>
    <fill>
      <patternFill patternType="solid">
        <fgColor rgb="000D1117"/>
      </patternFill>
    </fill>
    <fill>
      <patternFill patternType="solid">
        <fgColor rgb="00243B27"/>
      </patternFill>
    </fill>
    <fill>
      <patternFill patternType="solid">
        <fgColor rgb="00D4876B"/>
      </patternFill>
    </fill>
    <fill>
      <patternFill patternType="solid">
        <fgColor rgb="00FFFDF7"/>
      </patternFill>
    </fill>
    <fill>
      <patternFill patternType="solid">
        <fgColor rgb="00FFF8F0"/>
      </patternFill>
    </fill>
  </fills>
  <borders count="3">
    <border>
      <left/>
      <right/>
      <top/>
      <bottom/>
      <diagonal/>
    </border>
    <border>
      <left style="thin">
        <color rgb="00D4C9B8"/>
      </left>
      <right style="thin">
        <color rgb="00D4C9B8"/>
      </right>
      <top style="thin">
        <color rgb="00D4C9B8"/>
      </top>
      <bottom style="thin">
        <color rgb="00D4C9B8"/>
      </bottom>
    </border>
    <border>
      <left style="thin">
        <color rgb="001A2E1E"/>
      </left>
      <right style="thin">
        <color rgb="001A2E1E"/>
      </right>
      <top style="thin">
        <color rgb="001A2E1E"/>
      </top>
      <bottom style="thin">
        <color rgb="001A2E1E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9" fillId="1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13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164" fontId="15" fillId="7" borderId="0" applyAlignment="1" pivotButton="0" quotePrefix="0" xfId="0">
      <alignment horizontal="center" vertical="center"/>
    </xf>
    <xf numFmtId="164" fontId="15" fillId="14" borderId="0" applyAlignment="1" pivotButton="0" quotePrefix="0" xfId="0">
      <alignment horizontal="center" vertical="center"/>
    </xf>
    <xf numFmtId="168" fontId="17" fillId="2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1" fontId="19" fillId="13" borderId="0" applyAlignment="1" pivotButton="0" quotePrefix="0" xfId="0">
      <alignment horizontal="center" vertical="center"/>
    </xf>
    <xf numFmtId="169" fontId="19" fillId="13" borderId="0" applyAlignment="1" pivotButton="0" quotePrefix="0" xfId="0">
      <alignment horizontal="center" vertical="center"/>
    </xf>
    <xf numFmtId="164" fontId="19" fillId="13" borderId="0" applyAlignment="1" pivotButton="0" quotePrefix="0" xfId="0">
      <alignment horizontal="center" vertical="center"/>
    </xf>
    <xf numFmtId="49" fontId="19" fillId="1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4" fontId="20" fillId="15" borderId="1" applyAlignment="1" pivotButton="0" quotePrefix="0" xfId="0">
      <alignment horizontal="right" vertical="center"/>
    </xf>
    <xf numFmtId="0" fontId="21" fillId="4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center" vertical="center"/>
    </xf>
    <xf numFmtId="9" fontId="2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164" fontId="20" fillId="16" borderId="1" applyAlignment="1" pivotButton="0" quotePrefix="0" xfId="0">
      <alignment horizontal="right" vertical="center"/>
    </xf>
    <xf numFmtId="0" fontId="21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9" fontId="23" fillId="6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164" fontId="12" fillId="2" borderId="1" applyAlignment="1" pivotButton="0" quotePrefix="0" xfId="0">
      <alignment horizontal="right" vertical="center"/>
    </xf>
    <xf numFmtId="0" fontId="24" fillId="2" borderId="2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right" vertical="center"/>
    </xf>
    <xf numFmtId="164" fontId="26" fillId="4" borderId="1" applyAlignment="1" pivotButton="0" quotePrefix="0" xfId="0">
      <alignment horizontal="right" vertical="center"/>
    </xf>
    <xf numFmtId="164" fontId="20" fillId="4" borderId="1" applyAlignment="1" pivotButton="0" quotePrefix="0" xfId="0">
      <alignment horizontal="right" vertical="center"/>
    </xf>
    <xf numFmtId="0" fontId="27" fillId="4" borderId="1" applyAlignment="1" pivotButton="0" quotePrefix="0" xfId="0">
      <alignment horizontal="left" vertical="center"/>
    </xf>
    <xf numFmtId="0" fontId="28" fillId="4" borderId="1" applyAlignment="1" pivotButton="0" quotePrefix="0" xfId="0">
      <alignment horizontal="center" vertical="center"/>
    </xf>
    <xf numFmtId="164" fontId="26" fillId="6" borderId="1" applyAlignment="1" pivotButton="0" quotePrefix="0" xfId="0">
      <alignment horizontal="right" vertical="center"/>
    </xf>
    <xf numFmtId="164" fontId="20" fillId="6" borderId="1" applyAlignment="1" pivotButton="0" quotePrefix="0" xfId="0">
      <alignment horizontal="right" vertical="center"/>
    </xf>
    <xf numFmtId="0" fontId="27" fillId="6" borderId="1" applyAlignment="1" pivotButton="0" quotePrefix="0" xfId="0">
      <alignment horizontal="left" vertical="center"/>
    </xf>
    <xf numFmtId="0" fontId="28" fillId="6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left" vertical="center"/>
    </xf>
    <xf numFmtId="167" fontId="3" fillId="4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left" vertical="center"/>
    </xf>
    <xf numFmtId="49" fontId="3" fillId="6" borderId="1" applyAlignment="1" pivotButton="0" quotePrefix="0" xfId="0">
      <alignment horizontal="left" vertical="center"/>
    </xf>
    <xf numFmtId="167" fontId="3" fillId="6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0" fontId="29" fillId="4" borderId="0" applyAlignment="1" pivotButton="0" quotePrefix="0" xfId="0">
      <alignment horizontal="center" vertical="center"/>
    </xf>
    <xf numFmtId="164" fontId="30" fillId="6" borderId="0" applyAlignment="1" pivotButton="0" quotePrefix="0" xfId="0">
      <alignment horizontal="center" vertical="center"/>
    </xf>
    <xf numFmtId="164" fontId="31" fillId="11" borderId="0" applyAlignment="1" pivotButton="0" quotePrefix="0" xfId="0">
      <alignment horizontal="center" vertical="center"/>
    </xf>
    <xf numFmtId="9" fontId="32" fillId="6" borderId="0" applyAlignment="1" pivotButton="0" quotePrefix="0" xfId="0">
      <alignment horizontal="center" vertical="center"/>
    </xf>
    <xf numFmtId="0" fontId="33" fillId="2" borderId="0" applyAlignment="1" pivotButton="0" quotePrefix="0" xfId="0">
      <alignment horizontal="center" vertical="center"/>
    </xf>
    <xf numFmtId="0" fontId="34" fillId="5" borderId="0" applyAlignment="1" pivotButton="0" quotePrefix="0" xfId="0">
      <alignment horizontal="center" vertical="center"/>
    </xf>
    <xf numFmtId="0" fontId="35" fillId="1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166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167" fontId="6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6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167" fontId="8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166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167" fontId="8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b val="1"/>
        <color rgb="00C0392B"/>
      </font>
      <fill>
        <patternFill patternType="solid">
          <fgColor rgb="00FDE8E4"/>
        </patternFill>
      </fill>
    </dxf>
    <dxf>
      <font>
        <name val="Calibri"/>
        <color rgb="0027AE60"/>
      </font>
      <fill>
        <patternFill patternType="solid">
          <fgColor rgb="00E8F5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Revenus vs Dépenses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Dashboard'!C26</f>
            </strRef>
          </tx>
          <spPr>
            <a:ln w="25000">
              <a:solidFill>
                <a:srgbClr val="2E6B4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Dashboard'!$B$27:$B$38</f>
            </numRef>
          </cat>
          <val>
            <numRef>
              <f>'📊 Dashboard'!$C$27:$C$38</f>
            </numRef>
          </val>
        </ser>
        <ser>
          <idx val="1"/>
          <order val="1"/>
          <tx>
            <strRef>
              <f>'📊 Dashboard'!D26</f>
            </strRef>
          </tx>
          <spPr>
            <a:ln w="25000">
              <a:solidFill>
                <a:srgbClr val="D4876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Dashboard'!$B$27:$B$38</f>
            </numRef>
          </cat>
          <val>
            <numRef>
              <f>'📊 Dashboard'!$D$27:$D$38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dépenses — mois en cours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A2E1E"/>
              </a:solidFill>
              <a:ln>
                <a:prstDash val="solid"/>
              </a:ln>
            </spPr>
          </dPt>
          <dPt>
            <idx val="1"/>
            <spPr>
              <a:solidFill>
                <a:srgbClr val="2E6B4F"/>
              </a:solidFill>
              <a:ln>
                <a:prstDash val="solid"/>
              </a:ln>
            </spPr>
          </dPt>
          <dPt>
            <idx val="2"/>
            <spPr>
              <a:solidFill>
                <a:srgbClr val="5C7A6B"/>
              </a:solidFill>
              <a:ln>
                <a:prstDash val="solid"/>
              </a:ln>
            </spPr>
          </dPt>
          <dPt>
            <idx val="3"/>
            <spPr>
              <a:solidFill>
                <a:srgbClr val="A8C4B8"/>
              </a:solidFill>
              <a:ln>
                <a:prstDash val="solid"/>
              </a:ln>
            </spPr>
          </dPt>
          <dPt>
            <idx val="4"/>
            <spPr>
              <a:solidFill>
                <a:srgbClr val="D4876B"/>
              </a:solidFill>
              <a:ln>
                <a:prstDash val="solid"/>
              </a:ln>
            </spPr>
          </dPt>
          <dPt>
            <idx val="5"/>
            <spPr>
              <a:solidFill>
                <a:srgbClr val="F0C9B7"/>
              </a:solidFill>
              <a:ln>
                <a:prstDash val="solid"/>
              </a:ln>
            </spPr>
          </dPt>
          <dPt>
            <idx val="6"/>
            <spPr>
              <a:solidFill>
                <a:srgbClr val="E8B84B"/>
              </a:solidFill>
              <a:ln>
                <a:prstDash val="solid"/>
              </a:ln>
            </spPr>
          </dPt>
          <dPt>
            <idx val="7"/>
            <spPr>
              <a:solidFill>
                <a:srgbClr val="8B8A87"/>
              </a:solidFill>
              <a:ln>
                <a:prstDash val="solid"/>
              </a:ln>
            </spPr>
          </dPt>
          <cat>
            <numRef>
              <f>'📊 Dashboard'!$J$27:$J$34</f>
            </numRef>
          </cat>
          <val>
            <numRef>
              <f>'📊 Dashboard'!$K$27:$K$34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39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39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4876B"/>
    <outlinePr summaryBelow="1" summaryRight="1"/>
    <pageSetUpPr/>
  </sheetPr>
  <dimension ref="B1:K78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4" customWidth="1" min="6" max="6"/>
    <col width="26" customWidth="1" min="7" max="7"/>
    <col width="8" customWidth="1" min="8" max="8"/>
    <col width="14" customWidth="1" min="9" max="9"/>
    <col width="2" customWidth="1" min="10" max="10"/>
  </cols>
  <sheetData>
    <row r="1" customHeight="1">
      <c r="J1">
        <f>MAX(SUMPRODUCT((Transactions!$A$2:$A$501&lt;&gt;"")*(MONTH(Transactions!$A$2:$A$501)=1)*(YEAR(Transactions!$A$2:$A$501)=YEAR(TODAY()))*(Transactions!$C$2:$C$501="Dépense")*Transactions!$D$2:$D$501),SUMPRODUCT((Transactions!$A$2:$A$501&lt;&gt;"")*(MONTH(Transactions!$A$2:$A$501)=2)*(YEAR(Transactions!$A$2:$A$501)=YEAR(TODAY()))*(Transactions!$C$2:$C$501="Dépense")*Transactions!$D$2:$D$501),SUMPRODUCT((Transactions!$A$2:$A$501&lt;&gt;"")*(MONTH(Transactions!$A$2:$A$501)=3)*(YEAR(Transactions!$A$2:$A$501)=YEAR(TODAY()))*(Transactions!$C$2:$C$501="Dépense")*Transactions!$D$2:$D$501),SUMPRODUCT((Transactions!$A$2:$A$501&lt;&gt;"")*(MONTH(Transactions!$A$2:$A$501)=4)*(YEAR(Transactions!$A$2:$A$501)=YEAR(TODAY()))*(Transactions!$C$2:$C$501="Dépense")*Transactions!$D$2:$D$501),SUMPRODUCT((Transactions!$A$2:$A$501&lt;&gt;"")*(MONTH(Transactions!$A$2:$A$501)=5)*(YEAR(Transactions!$A$2:$A$501)=YEAR(TODAY()))*(Transactions!$C$2:$C$501="Dépense")*Transactions!$D$2:$D$501),SUMPRODUCT((Transactions!$A$2:$A$501&lt;&gt;"")*(MONTH(Transactions!$A$2:$A$501)=6)*(YEAR(Transactions!$A$2:$A$501)=YEAR(TODAY()))*(Transactions!$C$2:$C$501="Dépense")*Transactions!$D$2:$D$501),SUMPRODUCT((Transactions!$A$2:$A$501&lt;&gt;"")*(MONTH(Transactions!$A$2:$A$501)=7)*(YEAR(Transactions!$A$2:$A$501)=YEAR(TODAY()))*(Transactions!$C$2:$C$501="Dépense")*Transactions!$D$2:$D$501),SUMPRODUCT((Transactions!$A$2:$A$501&lt;&gt;"")*(MONTH(Transactions!$A$2:$A$501)=8)*(YEAR(Transactions!$A$2:$A$501)=YEAR(TODAY()))*(Transactions!$C$2:$C$501="Dépense")*Transactions!$D$2:$D$501),SUMPRODUCT((Transactions!$A$2:$A$501&lt;&gt;"")*(MONTH(Transactions!$A$2:$A$501)=9)*(YEAR(Transactions!$A$2:$A$501)=YEAR(TODAY()))*(Transactions!$C$2:$C$501="Dépense")*Transactions!$D$2:$D$501),SUMPRODUCT((Transactions!$A$2:$A$501&lt;&gt;"")*(MONTH(Transactions!$A$2:$A$501)=10)*(YEAR(Transactions!$A$2:$A$501)=YEAR(TODAY()))*(Transactions!$C$2:$C$501="Dépense")*Transactions!$D$2:$D$501),SUMPRODUCT((Transactions!$A$2:$A$501&lt;&gt;"")*(MONTH(Transactions!$A$2:$A$501)=11)*(YEAR(Transactions!$A$2:$A$501)=YEAR(TODAY()))*(Transactions!$C$2:$C$501="Dépense")*Transactions!$D$2:$D$501),SUMPRODUCT((Transactions!$A$2:$A$501&lt;&gt;"")*(MONTH(Transactions!$A$2:$A$501)=12)*(YEAR(Transactions!$A$2:$A$501)=YEAR(TODAY()))*(Transactions!$C$2:$C$501="Dépense")*Transactions!$D$2:$D$501))</f>
        <v/>
      </c>
    </row>
    <row r="2" ht="18" customHeight="1">
      <c r="B2" s="1" t="inlineStr">
        <is>
          <t>FINANCES 360°
 tableau de bord personnel</t>
        </is>
      </c>
    </row>
    <row r="3" ht="22" customHeight="1"/>
    <row r="4" ht="16" customHeight="1"/>
    <row r="5" ht="26" customHeight="1">
      <c r="B5" s="2">
        <f>UPPER(TEXT(TODAY(),"mmmm yyyy"))</f>
        <v/>
      </c>
      <c r="F5" s="3">
        <f>"Jour "&amp;DAY(TODAY())&amp;" / "&amp;DAY(EOMONTH(TODAY(),0))</f>
        <v/>
      </c>
      <c r="H5" s="4" t="inlineStr">
        <is>
          <t>→ Saisir</t>
        </is>
      </c>
    </row>
    <row r="6" ht="8" customHeight="1"/>
    <row r="7" ht="20" customHeight="1">
      <c r="B7" s="5" t="inlineStr">
        <is>
          <t xml:space="preserve">  ◆  INDICATEURS DU MOIS EN COURS</t>
        </is>
      </c>
    </row>
    <row r="8" ht="18" customHeight="1">
      <c r="B8" s="6" t="inlineStr">
        <is>
          <t>💼 REVENUS</t>
        </is>
      </c>
      <c r="E8" s="7" t="inlineStr">
        <is>
          <t>💸 DÉPENSES</t>
        </is>
      </c>
      <c r="G8" s="6" t="inlineStr">
        <is>
          <t>💚 ÉPARGNE</t>
        </is>
      </c>
      <c r="I8" s="8" t="inlineStr">
        <is>
          <t>%</t>
        </is>
      </c>
    </row>
    <row r="9" ht="30" customHeight="1">
      <c r="B9" s="9">
        <f>SUMPRODUCT((Transactions!$A$2:$A$501&lt;&gt;"")*(MONTH(Transactions!$A$2:$A$501)=MONTH(TODAY()))*(YEAR(Transactions!$A$2:$A$501)=YEAR(TODAY()))*(Transactions!$C$2:$C$501="Revenu")*Transactions!$D$2:$D$501)</f>
        <v/>
      </c>
      <c r="E9" s="10">
        <f>SUMPRODUCT((Transactions!$A$2:$A$501&lt;&gt;"")*(MONTH(Transactions!$A$2:$A$501)=MONTH(TODAY()))*(YEAR(Transactions!$A$2:$A$501)=YEAR(TODAY()))*(Transactions!$C$2:$C$501="Dépense")*Transactions!$D$2:$D$501)</f>
        <v/>
      </c>
      <c r="G9" s="9">
        <f>SUMPRODUCT((Transactions!$A$2:$A$501&lt;&gt;"")*(MONTH(Transactions!$A$2:$A$501)=MONTH(TODAY()))*(YEAR(Transactions!$A$2:$A$501)=YEAR(TODAY()))*(Transactions!$C$2:$C$501="Revenu")*Transactions!$D$2:$D$501)-SUMPRODUCT((Transactions!$A$2:$A$501&lt;&gt;"")*(MONTH(Transactions!$A$2:$A$501)=MONTH(TODAY()))*(YEAR(Transactions!$A$2:$A$501)=YEAR(TODAY()))*(Transactions!$C$2:$C$501="Dépense")*Transactions!$D$2:$D$501)</f>
        <v/>
      </c>
      <c r="I9" s="11">
        <f>IFERROR(SUMPRODUCT((Transactions!$A$2:$A$501&lt;&gt;"")*(MONTH(Transactions!$A$2:$A$501)=MONTH(TODAY()))*(YEAR(Transactions!$A$2:$A$501)=YEAR(TODAY()))*(Transactions!$C$2:$C$501="Dépense")*Transactions!$D$2:$D$501)/SUMPRODUCT((Transactions!$A$2:$A$501&lt;&gt;"")*(MONTH(Transactions!$A$2:$A$501)=MONTH(TODAY()))*(YEAR(Transactions!$A$2:$A$501)=YEAR(TODAY()))*(Transactions!$C$2:$C$501="Revenu")*Transactions!$D$2:$D$501),0)</f>
        <v/>
      </c>
    </row>
    <row r="10" ht="18" customHeight="1">
      <c r="B10" s="12" t="inlineStr">
        <is>
          <t>📊 NB TRANSACTIONS</t>
        </is>
      </c>
      <c r="D10" s="12" t="inlineStr">
        <is>
          <t>📅 JOURS RESTANTS</t>
        </is>
      </c>
      <c r="F10" s="12" t="inlineStr">
        <is>
          <t>📉 MOY. / JOUR</t>
        </is>
      </c>
      <c r="H10" s="13" t="inlineStr">
        <is>
          <t>🏆 TOP CATÉGORIE</t>
        </is>
      </c>
    </row>
    <row r="11" ht="26" customHeight="1">
      <c r="B11" s="14">
        <f>SUMPRODUCT((Transactions!$A$2:$A$501&lt;&gt;"")*(MONTH(Transactions!$A$2:$A$501)=MONTH(TODAY()))*(YEAR(Transactions!$A$2:$A$501)=YEAR(TODAY())))</f>
        <v/>
      </c>
      <c r="D11" s="15">
        <f>DAY(EOMONTH(TODAY(),0))-DAY(TODAY())</f>
        <v/>
      </c>
      <c r="F11" s="16">
        <f>IFERROR(SUMPRODUCT((Transactions!$A$2:$A$501&lt;&gt;"")*(MONTH(Transactions!$A$2:$A$501)=MONTH(TODAY()))*(YEAR(Transactions!$A$2:$A$501)=YEAR(TODAY()))*(Transactions!$C$2:$C$501="Dépense")*Transactions!$D$2:$D$501)/DAY(TODAY()),0)</f>
        <v/>
      </c>
      <c r="H11" s="17">
        <f>IFERROR(INDEX(Paramètres!$B$4:$B$11,MATCH(MAX(SUMPRODUCT((MONTH(Transactions!$A$2:$A$501)=MONTH(TODAY()))*(YEAR(Transactions!$A$2:$A$501)=YEAR(TODAY()))*(Transactions!$C$2:$C$501="Dépense")*(Transactions!$B$2:$B$501=Paramètres!$B4)*Transactions!$D$2:$D$501)),0)),"—")</f>
        <v/>
      </c>
    </row>
    <row r="12" ht="10" customHeight="1"/>
    <row r="13" ht="20" customHeight="1">
      <c r="B13" s="5" t="inlineStr">
        <is>
          <t xml:space="preserve">  ◆  BUDGET PAR CATÉGORIE  —  Ce mois</t>
        </is>
      </c>
    </row>
    <row r="14" ht="20" customHeight="1">
      <c r="B14" s="18" t="inlineStr">
        <is>
          <t>Catégorie</t>
        </is>
      </c>
      <c r="C14" s="18" t="inlineStr">
        <is>
          <t>Budget</t>
        </is>
      </c>
      <c r="D14" s="18" t="inlineStr">
        <is>
          <t>Dépensé</t>
        </is>
      </c>
      <c r="E14" s="18" t="inlineStr">
        <is>
          <t>Restant</t>
        </is>
      </c>
      <c r="G14" s="18" t="inlineStr">
        <is>
          <t>▓▓▓ Progression</t>
        </is>
      </c>
      <c r="H14" s="18" t="inlineStr">
        <is>
          <t>🚦</t>
        </is>
      </c>
      <c r="I14" s="18" t="inlineStr">
        <is>
          <t>% utilisé</t>
        </is>
      </c>
    </row>
    <row r="15" ht="20" customHeight="1">
      <c r="B15" s="19" t="inlineStr">
        <is>
          <t>🏠 Logement</t>
        </is>
      </c>
      <c r="C15" s="20">
        <f>Paramètres!$C$4</f>
        <v/>
      </c>
      <c r="D15" s="21">
        <f>SUMPRODUCT((Transactions!$A$2:$A$501&lt;&gt;"")*(MONTH(Transactions!$A$2:$A$501)=MONTH(TODAY()))*(YEAR(Transactions!$A$2:$A$501)=YEAR(TODAY()))*(Transactions!$B$2:$B$501="🏠 Logement")*(Transactions!$C$2:$C$501="Dépense")*Transactions!$D$2:$D$501)</f>
        <v/>
      </c>
      <c r="E15" s="20">
        <f>C15-D15</f>
        <v/>
      </c>
      <c r="G15" s="22">
        <f>IF(C15=0,"—",REPT("▓",MIN(22,INT(D15/C15*22)))&amp;REPT("░",MAX(0,22-MIN(22,INT(D15/C15*22)))))</f>
        <v/>
      </c>
      <c r="H15" s="23">
        <f>IF(D15=0,"⬜",IF(D15/C15&lt;0.8,"🟢",IF(D15/C15&lt;=1,"🟡","🔴")))</f>
        <v/>
      </c>
      <c r="I15" s="24">
        <f>IFERROR(D15/C15,0)</f>
        <v/>
      </c>
    </row>
    <row r="16" ht="20" customHeight="1">
      <c r="B16" s="25" t="inlineStr">
        <is>
          <t>🛒 Alimentation</t>
        </is>
      </c>
      <c r="C16" s="26">
        <f>Paramètres!$C$5</f>
        <v/>
      </c>
      <c r="D16" s="27">
        <f>SUMPRODUCT((Transactions!$A$2:$A$501&lt;&gt;"")*(MONTH(Transactions!$A$2:$A$501)=MONTH(TODAY()))*(YEAR(Transactions!$A$2:$A$501)=YEAR(TODAY()))*(Transactions!$B$2:$B$501="🛒 Alimentation")*(Transactions!$C$2:$C$501="Dépense")*Transactions!$D$2:$D$501)</f>
        <v/>
      </c>
      <c r="E16" s="26">
        <f>C16-D16</f>
        <v/>
      </c>
      <c r="G16" s="28">
        <f>IF(C16=0,"—",REPT("▓",MIN(22,INT(D16/C16*22)))&amp;REPT("░",MAX(0,22-MIN(22,INT(D16/C16*22)))))</f>
        <v/>
      </c>
      <c r="H16" s="29">
        <f>IF(D16=0,"⬜",IF(D16/C16&lt;0.8,"🟢",IF(D16/C16&lt;=1,"🟡","🔴")))</f>
        <v/>
      </c>
      <c r="I16" s="30">
        <f>IFERROR(D16/C16,0)</f>
        <v/>
      </c>
    </row>
    <row r="17" ht="20" customHeight="1">
      <c r="B17" s="19" t="inlineStr">
        <is>
          <t>🚗 Transport</t>
        </is>
      </c>
      <c r="C17" s="20">
        <f>Paramètres!$C$6</f>
        <v/>
      </c>
      <c r="D17" s="21">
        <f>SUMPRODUCT((Transactions!$A$2:$A$501&lt;&gt;"")*(MONTH(Transactions!$A$2:$A$501)=MONTH(TODAY()))*(YEAR(Transactions!$A$2:$A$501)=YEAR(TODAY()))*(Transactions!$B$2:$B$501="🚗 Transport")*(Transactions!$C$2:$C$501="Dépense")*Transactions!$D$2:$D$501)</f>
        <v/>
      </c>
      <c r="E17" s="20">
        <f>C17-D17</f>
        <v/>
      </c>
      <c r="G17" s="22">
        <f>IF(C17=0,"—",REPT("▓",MIN(22,INT(D17/C17*22)))&amp;REPT("░",MAX(0,22-MIN(22,INT(D17/C17*22)))))</f>
        <v/>
      </c>
      <c r="H17" s="23">
        <f>IF(D17=0,"⬜",IF(D17/C17&lt;0.8,"🟢",IF(D17/C17&lt;=1,"🟡","🔴")))</f>
        <v/>
      </c>
      <c r="I17" s="24">
        <f>IFERROR(D17/C17,0)</f>
        <v/>
      </c>
    </row>
    <row r="18" ht="20" customHeight="1">
      <c r="B18" s="25" t="inlineStr">
        <is>
          <t>💊 Santé</t>
        </is>
      </c>
      <c r="C18" s="26">
        <f>Paramètres!$C$7</f>
        <v/>
      </c>
      <c r="D18" s="27">
        <f>SUMPRODUCT((Transactions!$A$2:$A$501&lt;&gt;"")*(MONTH(Transactions!$A$2:$A$501)=MONTH(TODAY()))*(YEAR(Transactions!$A$2:$A$501)=YEAR(TODAY()))*(Transactions!$B$2:$B$501="💊 Santé")*(Transactions!$C$2:$C$501="Dépense")*Transactions!$D$2:$D$501)</f>
        <v/>
      </c>
      <c r="E18" s="26">
        <f>C18-D18</f>
        <v/>
      </c>
      <c r="G18" s="28">
        <f>IF(C18=0,"—",REPT("▓",MIN(22,INT(D18/C18*22)))&amp;REPT("░",MAX(0,22-MIN(22,INT(D18/C18*22)))))</f>
        <v/>
      </c>
      <c r="H18" s="29">
        <f>IF(D18=0,"⬜",IF(D18/C18&lt;0.8,"🟢",IF(D18/C18&lt;=1,"🟡","🔴")))</f>
        <v/>
      </c>
      <c r="I18" s="30">
        <f>IFERROR(D18/C18,0)</f>
        <v/>
      </c>
    </row>
    <row r="19" ht="20" customHeight="1">
      <c r="B19" s="19" t="inlineStr">
        <is>
          <t>🎮 Loisirs</t>
        </is>
      </c>
      <c r="C19" s="20">
        <f>Paramètres!$C$8</f>
        <v/>
      </c>
      <c r="D19" s="21">
        <f>SUMPRODUCT((Transactions!$A$2:$A$501&lt;&gt;"")*(MONTH(Transactions!$A$2:$A$501)=MONTH(TODAY()))*(YEAR(Transactions!$A$2:$A$501)=YEAR(TODAY()))*(Transactions!$B$2:$B$501="🎮 Loisirs")*(Transactions!$C$2:$C$501="Dépense")*Transactions!$D$2:$D$501)</f>
        <v/>
      </c>
      <c r="E19" s="20">
        <f>C19-D19</f>
        <v/>
      </c>
      <c r="G19" s="22">
        <f>IF(C19=0,"—",REPT("▓",MIN(22,INT(D19/C19*22)))&amp;REPT("░",MAX(0,22-MIN(22,INT(D19/C19*22)))))</f>
        <v/>
      </c>
      <c r="H19" s="23">
        <f>IF(D19=0,"⬜",IF(D19/C19&lt;0.8,"🟢",IF(D19/C19&lt;=1,"🟡","🔴")))</f>
        <v/>
      </c>
      <c r="I19" s="24">
        <f>IFERROR(D19/C19,0)</f>
        <v/>
      </c>
    </row>
    <row r="20" ht="20" customHeight="1">
      <c r="B20" s="25" t="inlineStr">
        <is>
          <t>📱 Abonnements</t>
        </is>
      </c>
      <c r="C20" s="26">
        <f>Paramètres!$C$9</f>
        <v/>
      </c>
      <c r="D20" s="27">
        <f>SUMPRODUCT((Transactions!$A$2:$A$501&lt;&gt;"")*(MONTH(Transactions!$A$2:$A$501)=MONTH(TODAY()))*(YEAR(Transactions!$A$2:$A$501)=YEAR(TODAY()))*(Transactions!$B$2:$B$501="📱 Abonnements")*(Transactions!$C$2:$C$501="Dépense")*Transactions!$D$2:$D$501)</f>
        <v/>
      </c>
      <c r="E20" s="26">
        <f>C20-D20</f>
        <v/>
      </c>
      <c r="G20" s="28">
        <f>IF(C20=0,"—",REPT("▓",MIN(22,INT(D20/C20*22)))&amp;REPT("░",MAX(0,22-MIN(22,INT(D20/C20*22)))))</f>
        <v/>
      </c>
      <c r="H20" s="29">
        <f>IF(D20=0,"⬜",IF(D20/C20&lt;0.8,"🟢",IF(D20/C20&lt;=1,"🟡","🔴")))</f>
        <v/>
      </c>
      <c r="I20" s="30">
        <f>IFERROR(D20/C20,0)</f>
        <v/>
      </c>
    </row>
    <row r="21" ht="20" customHeight="1">
      <c r="B21" s="19" t="inlineStr">
        <is>
          <t>👗 Shopping</t>
        </is>
      </c>
      <c r="C21" s="20">
        <f>Paramètres!$C$10</f>
        <v/>
      </c>
      <c r="D21" s="21">
        <f>SUMPRODUCT((Transactions!$A$2:$A$501&lt;&gt;"")*(MONTH(Transactions!$A$2:$A$501)=MONTH(TODAY()))*(YEAR(Transactions!$A$2:$A$501)=YEAR(TODAY()))*(Transactions!$B$2:$B$501="👗 Shopping")*(Transactions!$C$2:$C$501="Dépense")*Transactions!$D$2:$D$501)</f>
        <v/>
      </c>
      <c r="E21" s="20">
        <f>C21-D21</f>
        <v/>
      </c>
      <c r="G21" s="22">
        <f>IF(C21=0,"—",REPT("▓",MIN(22,INT(D21/C21*22)))&amp;REPT("░",MAX(0,22-MIN(22,INT(D21/C21*22)))))</f>
        <v/>
      </c>
      <c r="H21" s="23">
        <f>IF(D21=0,"⬜",IF(D21/C21&lt;0.8,"🟢",IF(D21/C21&lt;=1,"🟡","🔴")))</f>
        <v/>
      </c>
      <c r="I21" s="24">
        <f>IFERROR(D21/C21,0)</f>
        <v/>
      </c>
    </row>
    <row r="22" ht="20" customHeight="1">
      <c r="B22" s="25" t="inlineStr">
        <is>
          <t>💡 Divers</t>
        </is>
      </c>
      <c r="C22" s="26">
        <f>Paramètres!$C$11</f>
        <v/>
      </c>
      <c r="D22" s="27">
        <f>SUMPRODUCT((Transactions!$A$2:$A$501&lt;&gt;"")*(MONTH(Transactions!$A$2:$A$501)=MONTH(TODAY()))*(YEAR(Transactions!$A$2:$A$501)=YEAR(TODAY()))*(Transactions!$B$2:$B$501="💡 Divers")*(Transactions!$C$2:$C$501="Dépense")*Transactions!$D$2:$D$501)</f>
        <v/>
      </c>
      <c r="E22" s="26">
        <f>C22-D22</f>
        <v/>
      </c>
      <c r="G22" s="28">
        <f>IF(C22=0,"—",REPT("▓",MIN(22,INT(D22/C22*22)))&amp;REPT("░",MAX(0,22-MIN(22,INT(D22/C22*22)))))</f>
        <v/>
      </c>
      <c r="H22" s="29">
        <f>IF(D22=0,"⬜",IF(D22/C22&lt;0.8,"🟢",IF(D22/C22&lt;=1,"🟡","🔴")))</f>
        <v/>
      </c>
      <c r="I22" s="30">
        <f>IFERROR(D22/C22,0)</f>
        <v/>
      </c>
    </row>
    <row r="23" ht="22" customHeight="1">
      <c r="B23" s="31" t="inlineStr">
        <is>
          <t>TOTAL</t>
        </is>
      </c>
      <c r="C23" s="32">
        <f>SUM(C15:C22)</f>
        <v/>
      </c>
      <c r="D23" s="32">
        <f>SUM(D15:D22)</f>
        <v/>
      </c>
      <c r="E23" s="32">
        <f>SUM(E15:E22)</f>
        <v/>
      </c>
      <c r="G23" s="33">
        <f>IF(C23=0,"—",REPT("▓",MIN(22,INT(D23/C23*22)))&amp;REPT("░",MAX(0,22-MIN(22,INT(D23/C23*22)))))</f>
        <v/>
      </c>
      <c r="H23" s="34">
        <f>IF(D23=0,"⬜",IF(D23/C23&lt;0.8,"🟢",IF(D23/C23&lt;=1,"🟡","🔴")))</f>
        <v/>
      </c>
      <c r="I23" s="35">
        <f>IFERROR(D23/C23,0)</f>
        <v/>
      </c>
    </row>
    <row r="24" ht="12" customHeight="1"/>
    <row r="25" ht="20" customHeight="1">
      <c r="B25" s="5" t="inlineStr">
        <is>
          <t xml:space="preserve">  ◆  ÉVOLUTION SUR 12 MOIS  (année en cours)</t>
        </is>
      </c>
    </row>
    <row r="26" ht="18" customHeight="1">
      <c r="B26" s="18" t="inlineStr">
        <is>
          <t>Mois</t>
        </is>
      </c>
      <c r="C26" s="18" t="inlineStr">
        <is>
          <t>Revenus</t>
        </is>
      </c>
      <c r="D26" s="18" t="inlineStr">
        <is>
          <t>Dépenses</t>
        </is>
      </c>
      <c r="E26" s="18" t="inlineStr">
        <is>
          <t>Solde</t>
        </is>
      </c>
      <c r="G26" s="18" t="inlineStr">
        <is>
          <t>▓▓▓ Barres dépenses</t>
        </is>
      </c>
      <c r="H26" s="18" t="inlineStr">
        <is>
          <t>📈</t>
        </is>
      </c>
      <c r="I26" s="18" t="inlineStr">
        <is>
          <t>vs budget</t>
        </is>
      </c>
    </row>
    <row r="27" customHeight="1">
      <c r="B27" s="19" t="inlineStr">
        <is>
          <t>Janvier</t>
        </is>
      </c>
      <c r="C27" s="36">
        <f>SUMPRODUCT((Transactions!$A$2:$A$501&lt;&gt;"")*(MONTH(Transactions!$A$2:$A$501)=1)*(YEAR(Transactions!$A$2:$A$501)=YEAR(TODAY()))*(Transactions!$C$2:$C$501="Revenu")*Transactions!$D$2:$D$501)</f>
        <v/>
      </c>
      <c r="D27" s="37">
        <f>SUMPRODUCT((Transactions!$A$2:$A$501&lt;&gt;"")*(MONTH(Transactions!$A$2:$A$501)=1)*(YEAR(Transactions!$A$2:$A$501)=YEAR(TODAY()))*(Transactions!$C$2:$C$501="Dépense")*Transactions!$D$2:$D$501)</f>
        <v/>
      </c>
      <c r="E27" s="20">
        <f>C27-D27</f>
        <v/>
      </c>
      <c r="G27" s="38">
        <f>IF(D27=0,"—",REPT("▓",MIN(22,INT(D27/IF($J$1=0,1,$J$1)*22)))&amp;REPT("░",MAX(0,22-MIN(22,INT(D27/IF($J$1=0,1,$J$1)*22)))))</f>
        <v/>
      </c>
      <c r="H27" s="39">
        <f>IF(D27=0,"—",IF(D27&gt;AVERAGE(D27:D38),"↑","↓"))</f>
        <v/>
      </c>
      <c r="I27" s="24">
        <f>IFERROR(D27/2060,0)</f>
        <v/>
      </c>
      <c r="J27" t="inlineStr">
        <is>
          <t>🏠 Logement</t>
        </is>
      </c>
      <c r="K27">
        <f>SUMPRODUCT((Transactions!$A$2:$A$501&lt;&gt;"")*(MONTH(Transactions!$A$2:$A$501)=MONTH(TODAY()))*(YEAR(Transactions!$A$2:$A$501)=YEAR(TODAY()))*(Transactions!$B$2:$B$501="🏠 Logement")*(Transactions!$C$2:$C$501="Dépense")*Transactions!$D$2:$D$501)</f>
        <v/>
      </c>
    </row>
    <row r="28" customHeight="1">
      <c r="B28" s="25" t="inlineStr">
        <is>
          <t>Février</t>
        </is>
      </c>
      <c r="C28" s="40">
        <f>SUMPRODUCT((Transactions!$A$2:$A$501&lt;&gt;"")*(MONTH(Transactions!$A$2:$A$501)=2)*(YEAR(Transactions!$A$2:$A$501)=YEAR(TODAY()))*(Transactions!$C$2:$C$501="Revenu")*Transactions!$D$2:$D$501)</f>
        <v/>
      </c>
      <c r="D28" s="41">
        <f>SUMPRODUCT((Transactions!$A$2:$A$501&lt;&gt;"")*(MONTH(Transactions!$A$2:$A$501)=2)*(YEAR(Transactions!$A$2:$A$501)=YEAR(TODAY()))*(Transactions!$C$2:$C$501="Dépense")*Transactions!$D$2:$D$501)</f>
        <v/>
      </c>
      <c r="E28" s="26">
        <f>C28-D28</f>
        <v/>
      </c>
      <c r="G28" s="42">
        <f>IF(D28=0,"—",REPT("▓",MIN(22,INT(D28/IF($J$1=0,1,$J$1)*22)))&amp;REPT("░",MAX(0,22-MIN(22,INT(D28/IF($J$1=0,1,$J$1)*22)))))</f>
        <v/>
      </c>
      <c r="H28" s="43">
        <f>IF(D28=0,"—",IF(D28&gt;AVERAGE(D27:D38),"↑","↓"))</f>
        <v/>
      </c>
      <c r="I28" s="30">
        <f>IFERROR(D28/2060,0)</f>
        <v/>
      </c>
      <c r="J28" t="inlineStr">
        <is>
          <t>🛒 Alimentation</t>
        </is>
      </c>
      <c r="K28">
        <f>SUMPRODUCT((Transactions!$A$2:$A$501&lt;&gt;"")*(MONTH(Transactions!$A$2:$A$501)=MONTH(TODAY()))*(YEAR(Transactions!$A$2:$A$501)=YEAR(TODAY()))*(Transactions!$B$2:$B$501="🛒 Alimentation")*(Transactions!$C$2:$C$501="Dépense")*Transactions!$D$2:$D$501)</f>
        <v/>
      </c>
    </row>
    <row r="29" customHeight="1">
      <c r="B29" s="19" t="inlineStr">
        <is>
          <t>Mars</t>
        </is>
      </c>
      <c r="C29" s="36">
        <f>SUMPRODUCT((Transactions!$A$2:$A$501&lt;&gt;"")*(MONTH(Transactions!$A$2:$A$501)=3)*(YEAR(Transactions!$A$2:$A$501)=YEAR(TODAY()))*(Transactions!$C$2:$C$501="Revenu")*Transactions!$D$2:$D$501)</f>
        <v/>
      </c>
      <c r="D29" s="37">
        <f>SUMPRODUCT((Transactions!$A$2:$A$501&lt;&gt;"")*(MONTH(Transactions!$A$2:$A$501)=3)*(YEAR(Transactions!$A$2:$A$501)=YEAR(TODAY()))*(Transactions!$C$2:$C$501="Dépense")*Transactions!$D$2:$D$501)</f>
        <v/>
      </c>
      <c r="E29" s="20">
        <f>C29-D29</f>
        <v/>
      </c>
      <c r="G29" s="38">
        <f>IF(D29=0,"—",REPT("▓",MIN(22,INT(D29/IF($J$1=0,1,$J$1)*22)))&amp;REPT("░",MAX(0,22-MIN(22,INT(D29/IF($J$1=0,1,$J$1)*22)))))</f>
        <v/>
      </c>
      <c r="H29" s="39">
        <f>IF(D29=0,"—",IF(D29&gt;AVERAGE(D27:D38),"↑","↓"))</f>
        <v/>
      </c>
      <c r="I29" s="24">
        <f>IFERROR(D29/2060,0)</f>
        <v/>
      </c>
      <c r="J29" t="inlineStr">
        <is>
          <t>🚗 Transport</t>
        </is>
      </c>
      <c r="K29">
        <f>SUMPRODUCT((Transactions!$A$2:$A$501&lt;&gt;"")*(MONTH(Transactions!$A$2:$A$501)=MONTH(TODAY()))*(YEAR(Transactions!$A$2:$A$501)=YEAR(TODAY()))*(Transactions!$B$2:$B$501="🚗 Transport")*(Transactions!$C$2:$C$501="Dépense")*Transactions!$D$2:$D$501)</f>
        <v/>
      </c>
    </row>
    <row r="30" customHeight="1">
      <c r="B30" s="25" t="inlineStr">
        <is>
          <t>Avril</t>
        </is>
      </c>
      <c r="C30" s="40">
        <f>SUMPRODUCT((Transactions!$A$2:$A$501&lt;&gt;"")*(MONTH(Transactions!$A$2:$A$501)=4)*(YEAR(Transactions!$A$2:$A$501)=YEAR(TODAY()))*(Transactions!$C$2:$C$501="Revenu")*Transactions!$D$2:$D$501)</f>
        <v/>
      </c>
      <c r="D30" s="41">
        <f>SUMPRODUCT((Transactions!$A$2:$A$501&lt;&gt;"")*(MONTH(Transactions!$A$2:$A$501)=4)*(YEAR(Transactions!$A$2:$A$501)=YEAR(TODAY()))*(Transactions!$C$2:$C$501="Dépense")*Transactions!$D$2:$D$501)</f>
        <v/>
      </c>
      <c r="E30" s="26">
        <f>C30-D30</f>
        <v/>
      </c>
      <c r="G30" s="42">
        <f>IF(D30=0,"—",REPT("▓",MIN(22,INT(D30/IF($J$1=0,1,$J$1)*22)))&amp;REPT("░",MAX(0,22-MIN(22,INT(D30/IF($J$1=0,1,$J$1)*22)))))</f>
        <v/>
      </c>
      <c r="H30" s="43">
        <f>IF(D30=0,"—",IF(D30&gt;AVERAGE(D27:D38),"↑","↓"))</f>
        <v/>
      </c>
      <c r="I30" s="30">
        <f>IFERROR(D30/2060,0)</f>
        <v/>
      </c>
      <c r="J30" t="inlineStr">
        <is>
          <t>💊 Santé</t>
        </is>
      </c>
      <c r="K30">
        <f>SUMPRODUCT((Transactions!$A$2:$A$501&lt;&gt;"")*(MONTH(Transactions!$A$2:$A$501)=MONTH(TODAY()))*(YEAR(Transactions!$A$2:$A$501)=YEAR(TODAY()))*(Transactions!$B$2:$B$501="💊 Santé")*(Transactions!$C$2:$C$501="Dépense")*Transactions!$D$2:$D$501)</f>
        <v/>
      </c>
    </row>
    <row r="31" customHeight="1">
      <c r="B31" s="19" t="inlineStr">
        <is>
          <t>Mai</t>
        </is>
      </c>
      <c r="C31" s="36">
        <f>SUMPRODUCT((Transactions!$A$2:$A$501&lt;&gt;"")*(MONTH(Transactions!$A$2:$A$501)=5)*(YEAR(Transactions!$A$2:$A$501)=YEAR(TODAY()))*(Transactions!$C$2:$C$501="Revenu")*Transactions!$D$2:$D$501)</f>
        <v/>
      </c>
      <c r="D31" s="37">
        <f>SUMPRODUCT((Transactions!$A$2:$A$501&lt;&gt;"")*(MONTH(Transactions!$A$2:$A$501)=5)*(YEAR(Transactions!$A$2:$A$501)=YEAR(TODAY()))*(Transactions!$C$2:$C$501="Dépense")*Transactions!$D$2:$D$501)</f>
        <v/>
      </c>
      <c r="E31" s="20">
        <f>C31-D31</f>
        <v/>
      </c>
      <c r="G31" s="38">
        <f>IF(D31=0,"—",REPT("▓",MIN(22,INT(D31/IF($J$1=0,1,$J$1)*22)))&amp;REPT("░",MAX(0,22-MIN(22,INT(D31/IF($J$1=0,1,$J$1)*22)))))</f>
        <v/>
      </c>
      <c r="H31" s="39">
        <f>IF(D31=0,"—",IF(D31&gt;AVERAGE(D27:D38),"↑","↓"))</f>
        <v/>
      </c>
      <c r="I31" s="24">
        <f>IFERROR(D31/2060,0)</f>
        <v/>
      </c>
      <c r="J31" t="inlineStr">
        <is>
          <t>🎮 Loisirs</t>
        </is>
      </c>
      <c r="K31">
        <f>SUMPRODUCT((Transactions!$A$2:$A$501&lt;&gt;"")*(MONTH(Transactions!$A$2:$A$501)=MONTH(TODAY()))*(YEAR(Transactions!$A$2:$A$501)=YEAR(TODAY()))*(Transactions!$B$2:$B$501="🎮 Loisirs")*(Transactions!$C$2:$C$501="Dépense")*Transactions!$D$2:$D$501)</f>
        <v/>
      </c>
    </row>
    <row r="32" customHeight="1">
      <c r="B32" s="25" t="inlineStr">
        <is>
          <t>Juin</t>
        </is>
      </c>
      <c r="C32" s="40">
        <f>SUMPRODUCT((Transactions!$A$2:$A$501&lt;&gt;"")*(MONTH(Transactions!$A$2:$A$501)=6)*(YEAR(Transactions!$A$2:$A$501)=YEAR(TODAY()))*(Transactions!$C$2:$C$501="Revenu")*Transactions!$D$2:$D$501)</f>
        <v/>
      </c>
      <c r="D32" s="41">
        <f>SUMPRODUCT((Transactions!$A$2:$A$501&lt;&gt;"")*(MONTH(Transactions!$A$2:$A$501)=6)*(YEAR(Transactions!$A$2:$A$501)=YEAR(TODAY()))*(Transactions!$C$2:$C$501="Dépense")*Transactions!$D$2:$D$501)</f>
        <v/>
      </c>
      <c r="E32" s="26">
        <f>C32-D32</f>
        <v/>
      </c>
      <c r="G32" s="42">
        <f>IF(D32=0,"—",REPT("▓",MIN(22,INT(D32/IF($J$1=0,1,$J$1)*22)))&amp;REPT("░",MAX(0,22-MIN(22,INT(D32/IF($J$1=0,1,$J$1)*22)))))</f>
        <v/>
      </c>
      <c r="H32" s="43">
        <f>IF(D32=0,"—",IF(D32&gt;AVERAGE(D27:D38),"↑","↓"))</f>
        <v/>
      </c>
      <c r="I32" s="30">
        <f>IFERROR(D32/2060,0)</f>
        <v/>
      </c>
      <c r="J32" t="inlineStr">
        <is>
          <t>📱 Abonnements</t>
        </is>
      </c>
      <c r="K32">
        <f>SUMPRODUCT((Transactions!$A$2:$A$501&lt;&gt;"")*(MONTH(Transactions!$A$2:$A$501)=MONTH(TODAY()))*(YEAR(Transactions!$A$2:$A$501)=YEAR(TODAY()))*(Transactions!$B$2:$B$501="📱 Abonnements")*(Transactions!$C$2:$C$501="Dépense")*Transactions!$D$2:$D$501)</f>
        <v/>
      </c>
    </row>
    <row r="33" customHeight="1">
      <c r="B33" s="19" t="inlineStr">
        <is>
          <t>Juillet</t>
        </is>
      </c>
      <c r="C33" s="36">
        <f>SUMPRODUCT((Transactions!$A$2:$A$501&lt;&gt;"")*(MONTH(Transactions!$A$2:$A$501)=7)*(YEAR(Transactions!$A$2:$A$501)=YEAR(TODAY()))*(Transactions!$C$2:$C$501="Revenu")*Transactions!$D$2:$D$501)</f>
        <v/>
      </c>
      <c r="D33" s="37">
        <f>SUMPRODUCT((Transactions!$A$2:$A$501&lt;&gt;"")*(MONTH(Transactions!$A$2:$A$501)=7)*(YEAR(Transactions!$A$2:$A$501)=YEAR(TODAY()))*(Transactions!$C$2:$C$501="Dépense")*Transactions!$D$2:$D$501)</f>
        <v/>
      </c>
      <c r="E33" s="20">
        <f>C33-D33</f>
        <v/>
      </c>
      <c r="G33" s="38">
        <f>IF(D33=0,"—",REPT("▓",MIN(22,INT(D33/IF($J$1=0,1,$J$1)*22)))&amp;REPT("░",MAX(0,22-MIN(22,INT(D33/IF($J$1=0,1,$J$1)*22)))))</f>
        <v/>
      </c>
      <c r="H33" s="39">
        <f>IF(D33=0,"—",IF(D33&gt;AVERAGE(D27:D38),"↑","↓"))</f>
        <v/>
      </c>
      <c r="I33" s="24">
        <f>IFERROR(D33/2060,0)</f>
        <v/>
      </c>
      <c r="J33" t="inlineStr">
        <is>
          <t>👗 Shopping</t>
        </is>
      </c>
      <c r="K33">
        <f>SUMPRODUCT((Transactions!$A$2:$A$501&lt;&gt;"")*(MONTH(Transactions!$A$2:$A$501)=MONTH(TODAY()))*(YEAR(Transactions!$A$2:$A$501)=YEAR(TODAY()))*(Transactions!$B$2:$B$501="👗 Shopping")*(Transactions!$C$2:$C$501="Dépense")*Transactions!$D$2:$D$501)</f>
        <v/>
      </c>
    </row>
    <row r="34" customHeight="1">
      <c r="B34" s="25" t="inlineStr">
        <is>
          <t>Août</t>
        </is>
      </c>
      <c r="C34" s="40">
        <f>SUMPRODUCT((Transactions!$A$2:$A$501&lt;&gt;"")*(MONTH(Transactions!$A$2:$A$501)=8)*(YEAR(Transactions!$A$2:$A$501)=YEAR(TODAY()))*(Transactions!$C$2:$C$501="Revenu")*Transactions!$D$2:$D$501)</f>
        <v/>
      </c>
      <c r="D34" s="41">
        <f>SUMPRODUCT((Transactions!$A$2:$A$501&lt;&gt;"")*(MONTH(Transactions!$A$2:$A$501)=8)*(YEAR(Transactions!$A$2:$A$501)=YEAR(TODAY()))*(Transactions!$C$2:$C$501="Dépense")*Transactions!$D$2:$D$501)</f>
        <v/>
      </c>
      <c r="E34" s="26">
        <f>C34-D34</f>
        <v/>
      </c>
      <c r="G34" s="42">
        <f>IF(D34=0,"—",REPT("▓",MIN(22,INT(D34/IF($J$1=0,1,$J$1)*22)))&amp;REPT("░",MAX(0,22-MIN(22,INT(D34/IF($J$1=0,1,$J$1)*22)))))</f>
        <v/>
      </c>
      <c r="H34" s="43">
        <f>IF(D34=0,"—",IF(D34&gt;AVERAGE(D27:D38),"↑","↓"))</f>
        <v/>
      </c>
      <c r="I34" s="30">
        <f>IFERROR(D34/2060,0)</f>
        <v/>
      </c>
      <c r="J34" t="inlineStr">
        <is>
          <t>💡 Divers</t>
        </is>
      </c>
      <c r="K34">
        <f>SUMPRODUCT((Transactions!$A$2:$A$501&lt;&gt;"")*(MONTH(Transactions!$A$2:$A$501)=MONTH(TODAY()))*(YEAR(Transactions!$A$2:$A$501)=YEAR(TODAY()))*(Transactions!$B$2:$B$501="💡 Divers")*(Transactions!$C$2:$C$501="Dépense")*Transactions!$D$2:$D$501)</f>
        <v/>
      </c>
    </row>
    <row r="35" ht="18" customHeight="1">
      <c r="B35" s="19" t="inlineStr">
        <is>
          <t>Septembre</t>
        </is>
      </c>
      <c r="C35" s="36">
        <f>SUMPRODUCT((Transactions!$A$2:$A$501&lt;&gt;"")*(MONTH(Transactions!$A$2:$A$501)=9)*(YEAR(Transactions!$A$2:$A$501)=YEAR(TODAY()))*(Transactions!$C$2:$C$501="Revenu")*Transactions!$D$2:$D$501)</f>
        <v/>
      </c>
      <c r="D35" s="37">
        <f>SUMPRODUCT((Transactions!$A$2:$A$501&lt;&gt;"")*(MONTH(Transactions!$A$2:$A$501)=9)*(YEAR(Transactions!$A$2:$A$501)=YEAR(TODAY()))*(Transactions!$C$2:$C$501="Dépense")*Transactions!$D$2:$D$501)</f>
        <v/>
      </c>
      <c r="E35" s="20">
        <f>C35-D35</f>
        <v/>
      </c>
      <c r="G35" s="38">
        <f>IF(D35=0,"—",REPT("▓",MIN(22,INT(D35/IF($J$1=0,1,$J$1)*22)))&amp;REPT("░",MAX(0,22-MIN(22,INT(D35/IF($J$1=0,1,$J$1)*22)))))</f>
        <v/>
      </c>
      <c r="H35" s="39">
        <f>IF(D35=0,"—",IF(D35&gt;AVERAGE(D27:D38),"↑","↓"))</f>
        <v/>
      </c>
      <c r="I35" s="24">
        <f>IFERROR(D35/2060,0)</f>
        <v/>
      </c>
    </row>
    <row r="36" ht="18" customHeight="1">
      <c r="B36" s="25" t="inlineStr">
        <is>
          <t>Octobre</t>
        </is>
      </c>
      <c r="C36" s="40">
        <f>SUMPRODUCT((Transactions!$A$2:$A$501&lt;&gt;"")*(MONTH(Transactions!$A$2:$A$501)=10)*(YEAR(Transactions!$A$2:$A$501)=YEAR(TODAY()))*(Transactions!$C$2:$C$501="Revenu")*Transactions!$D$2:$D$501)</f>
        <v/>
      </c>
      <c r="D36" s="41">
        <f>SUMPRODUCT((Transactions!$A$2:$A$501&lt;&gt;"")*(MONTH(Transactions!$A$2:$A$501)=10)*(YEAR(Transactions!$A$2:$A$501)=YEAR(TODAY()))*(Transactions!$C$2:$C$501="Dépense")*Transactions!$D$2:$D$501)</f>
        <v/>
      </c>
      <c r="E36" s="26">
        <f>C36-D36</f>
        <v/>
      </c>
      <c r="G36" s="42">
        <f>IF(D36=0,"—",REPT("▓",MIN(22,INT(D36/IF($J$1=0,1,$J$1)*22)))&amp;REPT("░",MAX(0,22-MIN(22,INT(D36/IF($J$1=0,1,$J$1)*22)))))</f>
        <v/>
      </c>
      <c r="H36" s="43">
        <f>IF(D36=0,"—",IF(D36&gt;AVERAGE(D27:D38),"↑","↓"))</f>
        <v/>
      </c>
      <c r="I36" s="30">
        <f>IFERROR(D36/2060,0)</f>
        <v/>
      </c>
    </row>
    <row r="37" ht="18" customHeight="1">
      <c r="B37" s="19" t="inlineStr">
        <is>
          <t>Novembre</t>
        </is>
      </c>
      <c r="C37" s="36">
        <f>SUMPRODUCT((Transactions!$A$2:$A$501&lt;&gt;"")*(MONTH(Transactions!$A$2:$A$501)=11)*(YEAR(Transactions!$A$2:$A$501)=YEAR(TODAY()))*(Transactions!$C$2:$C$501="Revenu")*Transactions!$D$2:$D$501)</f>
        <v/>
      </c>
      <c r="D37" s="37">
        <f>SUMPRODUCT((Transactions!$A$2:$A$501&lt;&gt;"")*(MONTH(Transactions!$A$2:$A$501)=11)*(YEAR(Transactions!$A$2:$A$501)=YEAR(TODAY()))*(Transactions!$C$2:$C$501="Dépense")*Transactions!$D$2:$D$501)</f>
        <v/>
      </c>
      <c r="E37" s="20">
        <f>C37-D37</f>
        <v/>
      </c>
      <c r="G37" s="38">
        <f>IF(D37=0,"—",REPT("▓",MIN(22,INT(D37/IF($J$1=0,1,$J$1)*22)))&amp;REPT("░",MAX(0,22-MIN(22,INT(D37/IF($J$1=0,1,$J$1)*22)))))</f>
        <v/>
      </c>
      <c r="H37" s="39">
        <f>IF(D37=0,"—",IF(D37&gt;AVERAGE(D27:D38),"↑","↓"))</f>
        <v/>
      </c>
      <c r="I37" s="24">
        <f>IFERROR(D37/2060,0)</f>
        <v/>
      </c>
    </row>
    <row r="38" ht="18" customHeight="1">
      <c r="B38" s="25" t="inlineStr">
        <is>
          <t>Décembre</t>
        </is>
      </c>
      <c r="C38" s="40">
        <f>SUMPRODUCT((Transactions!$A$2:$A$501&lt;&gt;"")*(MONTH(Transactions!$A$2:$A$501)=12)*(YEAR(Transactions!$A$2:$A$501)=YEAR(TODAY()))*(Transactions!$C$2:$C$501="Revenu")*Transactions!$D$2:$D$501)</f>
        <v/>
      </c>
      <c r="D38" s="41">
        <f>SUMPRODUCT((Transactions!$A$2:$A$501&lt;&gt;"")*(MONTH(Transactions!$A$2:$A$501)=12)*(YEAR(Transactions!$A$2:$A$501)=YEAR(TODAY()))*(Transactions!$C$2:$C$501="Dépense")*Transactions!$D$2:$D$501)</f>
        <v/>
      </c>
      <c r="E38" s="26">
        <f>C38-D38</f>
        <v/>
      </c>
      <c r="G38" s="42">
        <f>IF(D38=0,"—",REPT("▓",MIN(22,INT(D38/IF($J$1=0,1,$J$1)*22)))&amp;REPT("░",MAX(0,22-MIN(22,INT(D38/IF($J$1=0,1,$J$1)*22)))))</f>
        <v/>
      </c>
      <c r="H38" s="43">
        <f>IF(D38=0,"—",IF(D38&gt;AVERAGE(D27:D38),"↑","↓"))</f>
        <v/>
      </c>
      <c r="I38" s="30">
        <f>IFERROR(D38/2060,0)</f>
        <v/>
      </c>
    </row>
    <row r="56" ht="10" customHeight="1"/>
    <row r="57" ht="12" customHeight="1"/>
    <row r="58" ht="20" customHeight="1">
      <c r="B58" s="5" t="inlineStr">
        <is>
          <t xml:space="preserve">  ◆  10 DERNIÈRES TRANSACTIONS  (auto-actualisé)</t>
        </is>
      </c>
    </row>
    <row r="59" ht="18" customHeight="1">
      <c r="B59" s="18" t="inlineStr">
        <is>
          <t>Date</t>
        </is>
      </c>
      <c r="C59" s="18" t="inlineStr">
        <is>
          <t>Catégorie</t>
        </is>
      </c>
      <c r="D59" s="18" t="inlineStr">
        <is>
          <t>Type</t>
        </is>
      </c>
      <c r="E59" s="18" t="inlineStr">
        <is>
          <t>Montant</t>
        </is>
      </c>
      <c r="F59" s="18" t="inlineStr">
        <is>
          <t>Note</t>
        </is>
      </c>
    </row>
    <row r="60" ht="18" customHeight="1">
      <c r="B60" s="44">
        <f>IFERROR(INDEX(Transactions!$A:$A,IFERROR(COUNTA(Transactions!$B$5:$B$500)-9+4,1)),"")</f>
        <v/>
      </c>
      <c r="C60" s="45">
        <f>IFERROR(INDEX(Transactions!$B:$B,IFERROR(COUNTA(Transactions!$B$5:$B$500)-9+4,1)),"")</f>
        <v/>
      </c>
      <c r="D60" s="45">
        <f>IFERROR(INDEX(Transactions!$C:$C,IFERROR(COUNTA(Transactions!$B$5:$B$500)-9+4,1)),"")</f>
        <v/>
      </c>
      <c r="E60" s="46">
        <f>IFERROR(INDEX(Transactions!$D:$D,IFERROR(COUNTA(Transactions!$B$5:$B$500)-9+4,1)),"")</f>
        <v/>
      </c>
      <c r="F60" s="45">
        <f>IFERROR(INDEX(Transactions!$E:$E,IFERROR(COUNTA(Transactions!$B$5:$B$500)-9+4,1)),"")</f>
        <v/>
      </c>
    </row>
    <row r="61" ht="18" customHeight="1">
      <c r="B61" s="47">
        <f>IFERROR(INDEX(Transactions!$A:$A,IFERROR(COUNTA(Transactions!$B$5:$B$500)-8+4,1)),"")</f>
        <v/>
      </c>
      <c r="C61" s="48">
        <f>IFERROR(INDEX(Transactions!$B:$B,IFERROR(COUNTA(Transactions!$B$5:$B$500)-8+4,1)),"")</f>
        <v/>
      </c>
      <c r="D61" s="48">
        <f>IFERROR(INDEX(Transactions!$C:$C,IFERROR(COUNTA(Transactions!$B$5:$B$500)-8+4,1)),"")</f>
        <v/>
      </c>
      <c r="E61" s="49">
        <f>IFERROR(INDEX(Transactions!$D:$D,IFERROR(COUNTA(Transactions!$B$5:$B$500)-8+4,1)),"")</f>
        <v/>
      </c>
      <c r="F61" s="48">
        <f>IFERROR(INDEX(Transactions!$E:$E,IFERROR(COUNTA(Transactions!$B$5:$B$500)-8+4,1)),"")</f>
        <v/>
      </c>
    </row>
    <row r="62" ht="18" customHeight="1">
      <c r="B62" s="44">
        <f>IFERROR(INDEX(Transactions!$A:$A,IFERROR(COUNTA(Transactions!$B$5:$B$500)-7+4,1)),"")</f>
        <v/>
      </c>
      <c r="C62" s="45">
        <f>IFERROR(INDEX(Transactions!$B:$B,IFERROR(COUNTA(Transactions!$B$5:$B$500)-7+4,1)),"")</f>
        <v/>
      </c>
      <c r="D62" s="45">
        <f>IFERROR(INDEX(Transactions!$C:$C,IFERROR(COUNTA(Transactions!$B$5:$B$500)-7+4,1)),"")</f>
        <v/>
      </c>
      <c r="E62" s="46">
        <f>IFERROR(INDEX(Transactions!$D:$D,IFERROR(COUNTA(Transactions!$B$5:$B$500)-7+4,1)),"")</f>
        <v/>
      </c>
      <c r="F62" s="45">
        <f>IFERROR(INDEX(Transactions!$E:$E,IFERROR(COUNTA(Transactions!$B$5:$B$500)-7+4,1)),"")</f>
        <v/>
      </c>
    </row>
    <row r="63" ht="18" customHeight="1">
      <c r="B63" s="47">
        <f>IFERROR(INDEX(Transactions!$A:$A,IFERROR(COUNTA(Transactions!$B$5:$B$500)-6+4,1)),"")</f>
        <v/>
      </c>
      <c r="C63" s="48">
        <f>IFERROR(INDEX(Transactions!$B:$B,IFERROR(COUNTA(Transactions!$B$5:$B$500)-6+4,1)),"")</f>
        <v/>
      </c>
      <c r="D63" s="48">
        <f>IFERROR(INDEX(Transactions!$C:$C,IFERROR(COUNTA(Transactions!$B$5:$B$500)-6+4,1)),"")</f>
        <v/>
      </c>
      <c r="E63" s="49">
        <f>IFERROR(INDEX(Transactions!$D:$D,IFERROR(COUNTA(Transactions!$B$5:$B$500)-6+4,1)),"")</f>
        <v/>
      </c>
      <c r="F63" s="48">
        <f>IFERROR(INDEX(Transactions!$E:$E,IFERROR(COUNTA(Transactions!$B$5:$B$500)-6+4,1)),"")</f>
        <v/>
      </c>
    </row>
    <row r="64" ht="18" customHeight="1">
      <c r="B64" s="44">
        <f>IFERROR(INDEX(Transactions!$A:$A,IFERROR(COUNTA(Transactions!$B$5:$B$500)-5+4,1)),"")</f>
        <v/>
      </c>
      <c r="C64" s="45">
        <f>IFERROR(INDEX(Transactions!$B:$B,IFERROR(COUNTA(Transactions!$B$5:$B$500)-5+4,1)),"")</f>
        <v/>
      </c>
      <c r="D64" s="45">
        <f>IFERROR(INDEX(Transactions!$C:$C,IFERROR(COUNTA(Transactions!$B$5:$B$500)-5+4,1)),"")</f>
        <v/>
      </c>
      <c r="E64" s="46">
        <f>IFERROR(INDEX(Transactions!$D:$D,IFERROR(COUNTA(Transactions!$B$5:$B$500)-5+4,1)),"")</f>
        <v/>
      </c>
      <c r="F64" s="45">
        <f>IFERROR(INDEX(Transactions!$E:$E,IFERROR(COUNTA(Transactions!$B$5:$B$500)-5+4,1)),"")</f>
        <v/>
      </c>
    </row>
    <row r="65" ht="18" customHeight="1">
      <c r="B65" s="47">
        <f>IFERROR(INDEX(Transactions!$A:$A,IFERROR(COUNTA(Transactions!$B$5:$B$500)-4+4,1)),"")</f>
        <v/>
      </c>
      <c r="C65" s="48">
        <f>IFERROR(INDEX(Transactions!$B:$B,IFERROR(COUNTA(Transactions!$B$5:$B$500)-4+4,1)),"")</f>
        <v/>
      </c>
      <c r="D65" s="48">
        <f>IFERROR(INDEX(Transactions!$C:$C,IFERROR(COUNTA(Transactions!$B$5:$B$500)-4+4,1)),"")</f>
        <v/>
      </c>
      <c r="E65" s="49">
        <f>IFERROR(INDEX(Transactions!$D:$D,IFERROR(COUNTA(Transactions!$B$5:$B$500)-4+4,1)),"")</f>
        <v/>
      </c>
      <c r="F65" s="48">
        <f>IFERROR(INDEX(Transactions!$E:$E,IFERROR(COUNTA(Transactions!$B$5:$B$500)-4+4,1)),"")</f>
        <v/>
      </c>
    </row>
    <row r="66" ht="18" customHeight="1">
      <c r="B66" s="44">
        <f>IFERROR(INDEX(Transactions!$A:$A,IFERROR(COUNTA(Transactions!$B$5:$B$500)-3+4,1)),"")</f>
        <v/>
      </c>
      <c r="C66" s="45">
        <f>IFERROR(INDEX(Transactions!$B:$B,IFERROR(COUNTA(Transactions!$B$5:$B$500)-3+4,1)),"")</f>
        <v/>
      </c>
      <c r="D66" s="45">
        <f>IFERROR(INDEX(Transactions!$C:$C,IFERROR(COUNTA(Transactions!$B$5:$B$500)-3+4,1)),"")</f>
        <v/>
      </c>
      <c r="E66" s="46">
        <f>IFERROR(INDEX(Transactions!$D:$D,IFERROR(COUNTA(Transactions!$B$5:$B$500)-3+4,1)),"")</f>
        <v/>
      </c>
      <c r="F66" s="45">
        <f>IFERROR(INDEX(Transactions!$E:$E,IFERROR(COUNTA(Transactions!$B$5:$B$500)-3+4,1)),"")</f>
        <v/>
      </c>
    </row>
    <row r="67" ht="18" customHeight="1">
      <c r="B67" s="47">
        <f>IFERROR(INDEX(Transactions!$A:$A,IFERROR(COUNTA(Transactions!$B$5:$B$500)-2+4,1)),"")</f>
        <v/>
      </c>
      <c r="C67" s="48">
        <f>IFERROR(INDEX(Transactions!$B:$B,IFERROR(COUNTA(Transactions!$B$5:$B$500)-2+4,1)),"")</f>
        <v/>
      </c>
      <c r="D67" s="48">
        <f>IFERROR(INDEX(Transactions!$C:$C,IFERROR(COUNTA(Transactions!$B$5:$B$500)-2+4,1)),"")</f>
        <v/>
      </c>
      <c r="E67" s="49">
        <f>IFERROR(INDEX(Transactions!$D:$D,IFERROR(COUNTA(Transactions!$B$5:$B$500)-2+4,1)),"")</f>
        <v/>
      </c>
      <c r="F67" s="48">
        <f>IFERROR(INDEX(Transactions!$E:$E,IFERROR(COUNTA(Transactions!$B$5:$B$500)-2+4,1)),"")</f>
        <v/>
      </c>
    </row>
    <row r="68" ht="18" customHeight="1">
      <c r="B68" s="44">
        <f>IFERROR(INDEX(Transactions!$A:$A,IFERROR(COUNTA(Transactions!$B$5:$B$500)-1+4,1)),"")</f>
        <v/>
      </c>
      <c r="C68" s="45">
        <f>IFERROR(INDEX(Transactions!$B:$B,IFERROR(COUNTA(Transactions!$B$5:$B$500)-1+4,1)),"")</f>
        <v/>
      </c>
      <c r="D68" s="45">
        <f>IFERROR(INDEX(Transactions!$C:$C,IFERROR(COUNTA(Transactions!$B$5:$B$500)-1+4,1)),"")</f>
        <v/>
      </c>
      <c r="E68" s="46">
        <f>IFERROR(INDEX(Transactions!$D:$D,IFERROR(COUNTA(Transactions!$B$5:$B$500)-1+4,1)),"")</f>
        <v/>
      </c>
      <c r="F68" s="45">
        <f>IFERROR(INDEX(Transactions!$E:$E,IFERROR(COUNTA(Transactions!$B$5:$B$500)-1+4,1)),"")</f>
        <v/>
      </c>
    </row>
    <row r="69" ht="18" customHeight="1">
      <c r="B69" s="47">
        <f>IFERROR(INDEX(Transactions!$A:$A,IFERROR(COUNTA(Transactions!$B$5:$B$500)-0+4,1)),"")</f>
        <v/>
      </c>
      <c r="C69" s="48">
        <f>IFERROR(INDEX(Transactions!$B:$B,IFERROR(COUNTA(Transactions!$B$5:$B$500)-0+4,1)),"")</f>
        <v/>
      </c>
      <c r="D69" s="48">
        <f>IFERROR(INDEX(Transactions!$C:$C,IFERROR(COUNTA(Transactions!$B$5:$B$500)-0+4,1)),"")</f>
        <v/>
      </c>
      <c r="E69" s="49">
        <f>IFERROR(INDEX(Transactions!$D:$D,IFERROR(COUNTA(Transactions!$B$5:$B$500)-0+4,1)),"")</f>
        <v/>
      </c>
      <c r="F69" s="48">
        <f>IFERROR(INDEX(Transactions!$E:$E,IFERROR(COUNTA(Transactions!$B$5:$B$500)-0+4,1)),"")</f>
        <v/>
      </c>
    </row>
    <row r="70" ht="10" customHeight="1"/>
    <row r="71" ht="20" customHeight="1">
      <c r="B71" s="5" t="inlineStr">
        <is>
          <t xml:space="preserve">  ◆  JAUGE D'ÉPARGNE MENSUELLE</t>
        </is>
      </c>
    </row>
    <row r="72" ht="18" customHeight="1">
      <c r="B72" s="50" t="inlineStr">
        <is>
          <t>Objectif épargne</t>
        </is>
      </c>
      <c r="D72" s="51" t="inlineStr">
        <is>
          <t>Épargne actuelle</t>
        </is>
      </c>
      <c r="F72" s="50" t="inlineStr">
        <is>
          <t>Taux</t>
        </is>
      </c>
    </row>
    <row r="73" ht="28" customHeight="1">
      <c r="B73" s="52">
        <f>SUMPRODUCT((Transactions!$A$2:$A$501&lt;&gt;"")*(MONTH(Transactions!$A$2:$A$501)=MONTH(TODAY()))*(YEAR(Transactions!$A$2:$A$501)=YEAR(TODAY()))*(Transactions!$C$2:$C$501="Revenu")*Transactions!$D$2:$D$501)*0.2</f>
        <v/>
      </c>
      <c r="D73" s="53">
        <f>SUMPRODUCT((Transactions!$A$2:$A$501&lt;&gt;"")*(MONTH(Transactions!$A$2:$A$501)=MONTH(TODAY()))*(YEAR(Transactions!$A$2:$A$501)=YEAR(TODAY()))*(Transactions!$C$2:$C$501="Revenu")*Transactions!$D$2:$D$501)-SUMPRODUCT((Transactions!$A$2:$A$501&lt;&gt;"")*(MONTH(Transactions!$A$2:$A$501)=MONTH(TODAY()))*(YEAR(Transactions!$A$2:$A$501)=YEAR(TODAY()))*(Transactions!$C$2:$C$501="Dépense")*Transactions!$D$2:$D$501)</f>
        <v/>
      </c>
      <c r="F73" s="54">
        <f>IFERROR((SUMPRODUCT((Transactions!$A$2:$A$501&lt;&gt;"")*(MONTH(Transactions!$A$2:$A$501)=MONTH(TODAY()))*(YEAR(Transactions!$A$2:$A$501)=YEAR(TODAY()))*(Transactions!$C$2:$C$501="Revenu")*Transactions!$D$2:$D$501)-SUMPRODUCT((Transactions!$A$2:$A$501&lt;&gt;"")*(MONTH(Transactions!$A$2:$A$501)=MONTH(TODAY()))*(YEAR(Transactions!$A$2:$A$501)=YEAR(TODAY()))*(Transactions!$C$2:$C$501="Dépense")*Transactions!$D$2:$D$501))/(=SUMPRODUCT((Transactions!$A$2:$A$501&lt;&gt;"")*(MONTH(Transactions!$A$2:$A$501)=MONTH(TODAY()))*(YEAR(Transactions!$A$2:$A$501)=YEAR(TODAY()))*(Transactions!$C$2:$C$501="Revenu")*Transactions!$D$2:$D$501)*0.2),0)</f>
        <v/>
      </c>
    </row>
    <row r="74" ht="28" customHeight="1">
      <c r="B74" s="55">
        <f>IF(=SUMPRODUCT((Transactions!$A$2:$A$501&lt;&gt;"")*(MONTH(Transactions!$A$2:$A$501)=MONTH(TODAY()))*(YEAR(Transactions!$A$2:$A$501)=YEAR(TODAY()))*(Transactions!$C$2:$C$501="Revenu")*Transactions!$D$2:$D$501)*0.2&lt;=0,"—",REPT("▓",MIN(40,INT((SUMPRODUCT((Transactions!$A$2:$A$501&lt;&gt;"")*(MONTH(Transactions!$A$2:$A$501)=MONTH(TODAY()))*(YEAR(Transactions!$A$2:$A$501)=YEAR(TODAY()))*(Transactions!$C$2:$C$501="Revenu")*Transactions!$D$2:$D$501)-SUMPRODUCT((Transactions!$A$2:$A$501&lt;&gt;"")*(MONTH(Transactions!$A$2:$A$501)=MONTH(TODAY()))*(YEAR(Transactions!$A$2:$A$501)=YEAR(TODAY()))*(Transactions!$C$2:$C$501="Dépense")*Transactions!$D$2:$D$501))/=SUMPRODUCT((Transactions!$A$2:$A$501&lt;&gt;"")*(MONTH(Transactions!$A$2:$A$501)=MONTH(TODAY()))*(YEAR(Transactions!$A$2:$A$501)=YEAR(TODAY()))*(Transactions!$C$2:$C$501="Revenu")*Transactions!$D$2:$D$501)*0.2*40)))&amp;REPT("░",MAX(0,40-MIN(40,INT((SUMPRODUCT((Transactions!$A$2:$A$501&lt;&gt;"")*(MONTH(Transactions!$A$2:$A$501)=MONTH(TODAY()))*(YEAR(Transactions!$A$2:$A$501)=YEAR(TODAY()))*(Transactions!$C$2:$C$501="Revenu")*Transactions!$D$2:$D$501)-SUMPRODUCT((Transactions!$A$2:$A$501&lt;&gt;"")*(MONTH(Transactions!$A$2:$A$501)=MONTH(TODAY()))*(YEAR(Transactions!$A$2:$A$501)=YEAR(TODAY()))*(Transactions!$C$2:$C$501="Dépense")*Transactions!$D$2:$D$501))/=SUMPRODUCT((Transactions!$A$2:$A$501&lt;&gt;"")*(MONTH(Transactions!$A$2:$A$501)=MONTH(TODAY()))*(YEAR(Transactions!$A$2:$A$501)=YEAR(TODAY()))*(Transactions!$C$2:$C$501="Revenu")*Transactions!$D$2:$D$501)*0.2*40)))))</f>
        <v/>
      </c>
    </row>
    <row r="75" ht="14" customHeight="1">
      <c r="B75" s="56" t="inlineStr">
        <is>
          <t xml:space="preserve">  ↑  Jauge vers l'objectif épargne (20 % des revenus)  —  auto-actualisé</t>
        </is>
      </c>
    </row>
    <row r="77" ht="8" customHeight="1"/>
    <row r="78" ht="18" customHeight="1">
      <c r="B78" s="57" t="inlineStr">
        <is>
          <t>Finances360  ·  Toutes les données sont issues de l'onglet Transactions  ·  Aucune saisie requise sur ce tableau de bord</t>
        </is>
      </c>
    </row>
  </sheetData>
  <mergeCells count="35">
    <mergeCell ref="F73:G73"/>
    <mergeCell ref="F11:G11"/>
    <mergeCell ref="I8"/>
    <mergeCell ref="D10:E10"/>
    <mergeCell ref="B75:I75"/>
    <mergeCell ref="B7:I7"/>
    <mergeCell ref="F10:G10"/>
    <mergeCell ref="B25:I25"/>
    <mergeCell ref="H10:I10"/>
    <mergeCell ref="B8:D8"/>
    <mergeCell ref="B72:C72"/>
    <mergeCell ref="B5:E5"/>
    <mergeCell ref="G8:H8"/>
    <mergeCell ref="B71:I71"/>
    <mergeCell ref="E8:F8"/>
    <mergeCell ref="B58:I58"/>
    <mergeCell ref="I9"/>
    <mergeCell ref="B11:C11"/>
    <mergeCell ref="D11:E11"/>
    <mergeCell ref="F5:G5"/>
    <mergeCell ref="B2:I4"/>
    <mergeCell ref="B9:D9"/>
    <mergeCell ref="E9:F9"/>
    <mergeCell ref="B73:C73"/>
    <mergeCell ref="B13:I13"/>
    <mergeCell ref="H11:I11"/>
    <mergeCell ref="B78:I78"/>
    <mergeCell ref="D72:E72"/>
    <mergeCell ref="F72:G72"/>
    <mergeCell ref="B10:C10"/>
    <mergeCell ref="B23"/>
    <mergeCell ref="B74:I74"/>
    <mergeCell ref="D73:E73"/>
    <mergeCell ref="H5:I5"/>
    <mergeCell ref="G9:H9"/>
  </mergeCells>
  <conditionalFormatting sqref="E15:E22">
    <cfRule type="expression" priority="1" dxfId="0">
      <formula>E15&lt;0</formula>
    </cfRule>
    <cfRule type="expression" priority="2" dxfId="1">
      <formula>E15&gt;0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6B4F"/>
    <outlinePr summaryBelow="1" summaryRight="1"/>
    <pageSetUpPr/>
  </sheetPr>
  <dimension ref="B2:G6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14" customWidth="1" min="4" max="4"/>
    <col width="14" customWidth="1" min="5" max="5"/>
    <col width="32" customWidth="1" min="6" max="6"/>
    <col width="10" customWidth="1" min="7" max="7"/>
    <col width="3" customWidth="1" min="8" max="8"/>
  </cols>
  <sheetData>
    <row r="1" ht="8" customHeight="1"/>
    <row r="2" ht="32" customHeight="1">
      <c r="B2" s="58" t="inlineStr">
        <is>
          <t>📝  TRANSACTIONS  —  Saisissez chaque opération ici</t>
        </is>
      </c>
    </row>
    <row r="3" ht="18" customHeight="1">
      <c r="B3" s="59" t="inlineStr">
        <is>
          <t xml:space="preserve">  ✦  Entrez Date · Catégorie · Type (Dépense / Revenu) · Montant · Note  —  Le Dashboard se met à jour automatiquement</t>
        </is>
      </c>
    </row>
    <row r="4" ht="20" customHeight="1">
      <c r="B4" s="18" t="inlineStr">
        <is>
          <t>Date</t>
        </is>
      </c>
      <c r="C4" s="18" t="inlineStr">
        <is>
          <t>Catégorie</t>
        </is>
      </c>
      <c r="D4" s="18" t="inlineStr">
        <is>
          <t>Type</t>
        </is>
      </c>
      <c r="E4" s="18" t="inlineStr">
        <is>
          <t>Montant</t>
        </is>
      </c>
      <c r="F4" s="18" t="inlineStr">
        <is>
          <t>Note</t>
        </is>
      </c>
    </row>
    <row r="5" ht="17" customHeight="1">
      <c r="B5" s="60" t="n">
        <v>46113</v>
      </c>
      <c r="C5" s="61" t="inlineStr">
        <is>
          <t>🏠 Logement</t>
        </is>
      </c>
      <c r="D5" s="62" t="inlineStr">
        <is>
          <t>Dépense</t>
        </is>
      </c>
      <c r="E5" s="63" t="n">
        <v>900</v>
      </c>
      <c r="F5" s="64" t="inlineStr">
        <is>
          <t>Loyer</t>
        </is>
      </c>
    </row>
    <row r="6" ht="17" customHeight="1">
      <c r="B6" s="65" t="n">
        <v>46115</v>
      </c>
      <c r="C6" s="66" t="inlineStr">
        <is>
          <t>👗 Shopping</t>
        </is>
      </c>
      <c r="D6" s="67" t="inlineStr">
        <is>
          <t>Dépense</t>
        </is>
      </c>
      <c r="E6" s="68" t="n">
        <v>9.19</v>
      </c>
      <c r="F6" s="69" t="inlineStr">
        <is>
          <t>Zara</t>
        </is>
      </c>
    </row>
    <row r="7" ht="17" customHeight="1">
      <c r="B7" s="60" t="n">
        <v>46115</v>
      </c>
      <c r="C7" s="61" t="inlineStr">
        <is>
          <t>🛒 Alimentation</t>
        </is>
      </c>
      <c r="D7" s="62" t="inlineStr">
        <is>
          <t>Dépense</t>
        </is>
      </c>
      <c r="E7" s="63" t="n">
        <v>62.43</v>
      </c>
      <c r="F7" s="64" t="inlineStr">
        <is>
          <t>Amazon Fresh</t>
        </is>
      </c>
    </row>
    <row r="8" ht="17" customHeight="1">
      <c r="B8" s="65" t="n">
        <v>46116</v>
      </c>
      <c r="C8" s="66" t="inlineStr">
        <is>
          <t>🏠 Logement</t>
        </is>
      </c>
      <c r="D8" s="67" t="inlineStr">
        <is>
          <t>Dépense</t>
        </is>
      </c>
      <c r="E8" s="68" t="n">
        <v>35.43</v>
      </c>
      <c r="F8" s="69" t="inlineStr">
        <is>
          <t>Assurance habitation</t>
        </is>
      </c>
    </row>
    <row r="9" ht="17" customHeight="1">
      <c r="B9" s="60" t="n">
        <v>46116</v>
      </c>
      <c r="C9" s="61" t="inlineStr">
        <is>
          <t>👗 Shopping</t>
        </is>
      </c>
      <c r="D9" s="62" t="inlineStr">
        <is>
          <t>Dépense</t>
        </is>
      </c>
      <c r="E9" s="63" t="n">
        <v>30.08</v>
      </c>
      <c r="F9" s="64" t="inlineStr">
        <is>
          <t>Zara</t>
        </is>
      </c>
    </row>
    <row r="10" ht="17" customHeight="1">
      <c r="B10" s="65" t="n">
        <v>46117</v>
      </c>
      <c r="C10" s="66" t="inlineStr">
        <is>
          <t>📱 Abonnements</t>
        </is>
      </c>
      <c r="D10" s="67" t="inlineStr">
        <is>
          <t>Dépense</t>
        </is>
      </c>
      <c r="E10" s="68" t="n">
        <v>10</v>
      </c>
      <c r="F10" s="69" t="inlineStr">
        <is>
          <t>Spotify</t>
        </is>
      </c>
    </row>
    <row r="11" ht="17" customHeight="1">
      <c r="B11" s="60" t="n">
        <v>46117</v>
      </c>
      <c r="C11" s="61" t="inlineStr">
        <is>
          <t>📱 Abonnements</t>
        </is>
      </c>
      <c r="D11" s="62" t="inlineStr">
        <is>
          <t>Dépense</t>
        </is>
      </c>
      <c r="E11" s="63" t="n">
        <v>14</v>
      </c>
      <c r="F11" s="64" t="inlineStr">
        <is>
          <t>Netflix</t>
        </is>
      </c>
    </row>
    <row r="12" ht="17" customHeight="1">
      <c r="B12" s="65" t="n">
        <v>46117</v>
      </c>
      <c r="C12" s="66" t="inlineStr">
        <is>
          <t>📱 Abonnements</t>
        </is>
      </c>
      <c r="D12" s="67" t="inlineStr">
        <is>
          <t>Dépense</t>
        </is>
      </c>
      <c r="E12" s="68" t="n">
        <v>3</v>
      </c>
      <c r="F12" s="69" t="inlineStr">
        <is>
          <t>iCloud 200 Go</t>
        </is>
      </c>
    </row>
    <row r="13" ht="17" customHeight="1">
      <c r="B13" s="60" t="n">
        <v>46117</v>
      </c>
      <c r="C13" s="61" t="inlineStr">
        <is>
          <t>📱 Abonnements</t>
        </is>
      </c>
      <c r="D13" s="62" t="inlineStr">
        <is>
          <t>Dépense</t>
        </is>
      </c>
      <c r="E13" s="63" t="n">
        <v>35</v>
      </c>
      <c r="F13" s="64" t="inlineStr">
        <is>
          <t>Canal+</t>
        </is>
      </c>
    </row>
    <row r="14" ht="17" customHeight="1">
      <c r="B14" s="65" t="n">
        <v>46118</v>
      </c>
      <c r="C14" s="66" t="inlineStr">
        <is>
          <t>🎮 Loisirs</t>
        </is>
      </c>
      <c r="D14" s="67" t="inlineStr">
        <is>
          <t>Dépense</t>
        </is>
      </c>
      <c r="E14" s="68" t="n">
        <v>53.37</v>
      </c>
      <c r="F14" s="69" t="inlineStr">
        <is>
          <t>Jeux vidéo Steam</t>
        </is>
      </c>
    </row>
    <row r="15" ht="17" customHeight="1">
      <c r="B15" s="60" t="n">
        <v>46121</v>
      </c>
      <c r="C15" s="61" t="inlineStr">
        <is>
          <t>🚗 Transport</t>
        </is>
      </c>
      <c r="D15" s="62" t="inlineStr">
        <is>
          <t>Dépense</t>
        </is>
      </c>
      <c r="E15" s="63" t="n">
        <v>73.70999999999999</v>
      </c>
      <c r="F15" s="64" t="inlineStr">
        <is>
          <t>Contrôle technique</t>
        </is>
      </c>
    </row>
    <row r="16" ht="17" customHeight="1">
      <c r="B16" s="65" t="n">
        <v>46122</v>
      </c>
      <c r="C16" s="66" t="inlineStr">
        <is>
          <t>💊 Santé</t>
        </is>
      </c>
      <c r="D16" s="67" t="inlineStr">
        <is>
          <t>Dépense</t>
        </is>
      </c>
      <c r="E16" s="68" t="n">
        <v>19.97</v>
      </c>
      <c r="F16" s="69" t="inlineStr">
        <is>
          <t>Médecin généraliste</t>
        </is>
      </c>
    </row>
    <row r="17" ht="17" customHeight="1">
      <c r="B17" s="60" t="n">
        <v>46125</v>
      </c>
      <c r="C17" s="61" t="inlineStr">
        <is>
          <t>📱 Abonnements</t>
        </is>
      </c>
      <c r="D17" s="62" t="inlineStr">
        <is>
          <t>Dépense</t>
        </is>
      </c>
      <c r="E17" s="63" t="n">
        <v>23.96</v>
      </c>
      <c r="F17" s="64" t="inlineStr">
        <is>
          <t>Canal+</t>
        </is>
      </c>
    </row>
    <row r="18" ht="17" customHeight="1">
      <c r="B18" s="65" t="n">
        <v>46130</v>
      </c>
      <c r="C18" s="66" t="inlineStr">
        <is>
          <t>👗 Shopping</t>
        </is>
      </c>
      <c r="D18" s="67" t="inlineStr">
        <is>
          <t>Dépense</t>
        </is>
      </c>
      <c r="E18" s="68" t="n">
        <v>25.97</v>
      </c>
      <c r="F18" s="69" t="inlineStr">
        <is>
          <t>ASOS</t>
        </is>
      </c>
    </row>
    <row r="19" ht="17" customHeight="1">
      <c r="B19" s="60" t="n">
        <v>46131</v>
      </c>
      <c r="C19" s="61" t="inlineStr">
        <is>
          <t>💡 Divers</t>
        </is>
      </c>
      <c r="D19" s="62" t="inlineStr">
        <is>
          <t>Dépense</t>
        </is>
      </c>
      <c r="E19" s="63" t="n">
        <v>26.83</v>
      </c>
      <c r="F19" s="64" t="inlineStr">
        <is>
          <t>Cadeau anniversaire</t>
        </is>
      </c>
    </row>
    <row r="20" ht="17" customHeight="1">
      <c r="B20" s="65" t="n">
        <v>46132</v>
      </c>
      <c r="C20" s="66" t="inlineStr">
        <is>
          <t>📱 Abonnements</t>
        </is>
      </c>
      <c r="D20" s="67" t="inlineStr">
        <is>
          <t>Dépense</t>
        </is>
      </c>
      <c r="E20" s="68" t="n">
        <v>19.27</v>
      </c>
      <c r="F20" s="69" t="inlineStr">
        <is>
          <t>Canal+</t>
        </is>
      </c>
    </row>
    <row r="21" ht="17" customHeight="1">
      <c r="B21" s="60" t="n">
        <v>46133</v>
      </c>
      <c r="C21" s="61" t="inlineStr">
        <is>
          <t>📱 Abonnements</t>
        </is>
      </c>
      <c r="D21" s="62" t="inlineStr">
        <is>
          <t>Dépense</t>
        </is>
      </c>
      <c r="E21" s="63" t="n">
        <v>22.39</v>
      </c>
      <c r="F21" s="64" t="inlineStr">
        <is>
          <t>Adobe CC</t>
        </is>
      </c>
    </row>
    <row r="22" ht="17" customHeight="1">
      <c r="B22" s="65" t="n">
        <v>46133</v>
      </c>
      <c r="C22" s="66" t="inlineStr">
        <is>
          <t>🏠 Logement</t>
        </is>
      </c>
      <c r="D22" s="67" t="inlineStr">
        <is>
          <t>Dépense</t>
        </is>
      </c>
      <c r="E22" s="68" t="n">
        <v>15.55</v>
      </c>
      <c r="F22" s="69" t="inlineStr">
        <is>
          <t>Eau / EDF</t>
        </is>
      </c>
    </row>
    <row r="23" ht="17" customHeight="1">
      <c r="B23" s="60" t="n">
        <v>46137</v>
      </c>
      <c r="C23" s="61" t="inlineStr">
        <is>
          <t>🎮 Loisirs</t>
        </is>
      </c>
      <c r="D23" s="62" t="inlineStr">
        <is>
          <t>Dépense</t>
        </is>
      </c>
      <c r="E23" s="63" t="n">
        <v>13.8</v>
      </c>
      <c r="F23" s="64" t="inlineStr">
        <is>
          <t>Restaurant Le Bistrot</t>
        </is>
      </c>
    </row>
    <row r="24" ht="17" customHeight="1">
      <c r="B24" s="65" t="n">
        <v>46139</v>
      </c>
      <c r="C24" s="66" t="inlineStr">
        <is>
          <t>📱 Abonnements</t>
        </is>
      </c>
      <c r="D24" s="67" t="inlineStr">
        <is>
          <t>Dépense</t>
        </is>
      </c>
      <c r="E24" s="68" t="n">
        <v>13.92</v>
      </c>
      <c r="F24" s="69" t="inlineStr">
        <is>
          <t>Canal+</t>
        </is>
      </c>
    </row>
    <row r="25" ht="17" customHeight="1">
      <c r="B25" s="70" t="n">
        <v>46140</v>
      </c>
      <c r="C25" s="71" t="inlineStr">
        <is>
          <t>Salaire</t>
        </is>
      </c>
      <c r="D25" s="72" t="inlineStr">
        <is>
          <t>Revenu</t>
        </is>
      </c>
      <c r="E25" s="73" t="n">
        <v>2800</v>
      </c>
      <c r="F25" s="74" t="inlineStr">
        <is>
          <t>Virement employeur</t>
        </is>
      </c>
    </row>
    <row r="26" ht="17" customHeight="1">
      <c r="B26" s="65" t="n">
        <v>46140</v>
      </c>
      <c r="C26" s="66" t="inlineStr">
        <is>
          <t>🏠 Logement</t>
        </is>
      </c>
      <c r="D26" s="67" t="inlineStr">
        <is>
          <t>Dépense</t>
        </is>
      </c>
      <c r="E26" s="68" t="n">
        <v>84.34999999999999</v>
      </c>
      <c r="F26" s="69" t="inlineStr">
        <is>
          <t>Loyer</t>
        </is>
      </c>
    </row>
    <row r="27" ht="17" customHeight="1">
      <c r="B27" s="60" t="n">
        <v>46143</v>
      </c>
      <c r="C27" s="61" t="inlineStr">
        <is>
          <t>🏠 Logement</t>
        </is>
      </c>
      <c r="D27" s="62" t="inlineStr">
        <is>
          <t>Dépense</t>
        </is>
      </c>
      <c r="E27" s="63" t="n">
        <v>900</v>
      </c>
      <c r="F27" s="64" t="inlineStr">
        <is>
          <t>Loyer</t>
        </is>
      </c>
    </row>
    <row r="28" ht="17" customHeight="1">
      <c r="B28" s="65" t="n">
        <v>46146</v>
      </c>
      <c r="C28" s="66" t="inlineStr">
        <is>
          <t>🛒 Alimentation</t>
        </is>
      </c>
      <c r="D28" s="67" t="inlineStr">
        <is>
          <t>Dépense</t>
        </is>
      </c>
      <c r="E28" s="68" t="n">
        <v>18.83</v>
      </c>
      <c r="F28" s="69" t="inlineStr">
        <is>
          <t>Boulangerie</t>
        </is>
      </c>
    </row>
    <row r="29" ht="17" customHeight="1">
      <c r="B29" s="60" t="n">
        <v>46146</v>
      </c>
      <c r="C29" s="61" t="inlineStr">
        <is>
          <t>💊 Santé</t>
        </is>
      </c>
      <c r="D29" s="62" t="inlineStr">
        <is>
          <t>Dépense</t>
        </is>
      </c>
      <c r="E29" s="63" t="n">
        <v>10.05</v>
      </c>
      <c r="F29" s="64" t="inlineStr">
        <is>
          <t>Médecin généraliste</t>
        </is>
      </c>
    </row>
    <row r="30" ht="17" customHeight="1">
      <c r="B30" s="65" t="n">
        <v>46147</v>
      </c>
      <c r="C30" s="66" t="inlineStr">
        <is>
          <t>📱 Abonnements</t>
        </is>
      </c>
      <c r="D30" s="67" t="inlineStr">
        <is>
          <t>Dépense</t>
        </is>
      </c>
      <c r="E30" s="68" t="n">
        <v>10</v>
      </c>
      <c r="F30" s="69" t="inlineStr">
        <is>
          <t>Spotify</t>
        </is>
      </c>
    </row>
    <row r="31" ht="17" customHeight="1">
      <c r="B31" s="60" t="n">
        <v>46147</v>
      </c>
      <c r="C31" s="61" t="inlineStr">
        <is>
          <t>📱 Abonnements</t>
        </is>
      </c>
      <c r="D31" s="62" t="inlineStr">
        <is>
          <t>Dépense</t>
        </is>
      </c>
      <c r="E31" s="63" t="n">
        <v>14</v>
      </c>
      <c r="F31" s="64" t="inlineStr">
        <is>
          <t>Netflix</t>
        </is>
      </c>
    </row>
    <row r="32" ht="17" customHeight="1">
      <c r="B32" s="65" t="n">
        <v>46147</v>
      </c>
      <c r="C32" s="66" t="inlineStr">
        <is>
          <t>📱 Abonnements</t>
        </is>
      </c>
      <c r="D32" s="67" t="inlineStr">
        <is>
          <t>Dépense</t>
        </is>
      </c>
      <c r="E32" s="68" t="n">
        <v>3</v>
      </c>
      <c r="F32" s="69" t="inlineStr">
        <is>
          <t>iCloud 200 Go</t>
        </is>
      </c>
    </row>
    <row r="33" ht="17" customHeight="1">
      <c r="B33" s="60" t="n">
        <v>46147</v>
      </c>
      <c r="C33" s="61" t="inlineStr">
        <is>
          <t>📱 Abonnements</t>
        </is>
      </c>
      <c r="D33" s="62" t="inlineStr">
        <is>
          <t>Dépense</t>
        </is>
      </c>
      <c r="E33" s="63" t="n">
        <v>35</v>
      </c>
      <c r="F33" s="64" t="inlineStr">
        <is>
          <t>Canal+</t>
        </is>
      </c>
    </row>
    <row r="34" ht="17" customHeight="1">
      <c r="B34" s="65" t="n">
        <v>46148</v>
      </c>
      <c r="C34" s="66" t="inlineStr">
        <is>
          <t>💡 Divers</t>
        </is>
      </c>
      <c r="D34" s="67" t="inlineStr">
        <is>
          <t>Dépense</t>
        </is>
      </c>
      <c r="E34" s="68" t="n">
        <v>30.89</v>
      </c>
      <c r="F34" s="69" t="inlineStr">
        <is>
          <t>Cadeau anniversaire</t>
        </is>
      </c>
    </row>
    <row r="35" ht="17" customHeight="1">
      <c r="B35" s="60" t="n">
        <v>46149</v>
      </c>
      <c r="C35" s="61" t="inlineStr">
        <is>
          <t>💊 Santé</t>
        </is>
      </c>
      <c r="D35" s="62" t="inlineStr">
        <is>
          <t>Dépense</t>
        </is>
      </c>
      <c r="E35" s="63" t="n">
        <v>20.77</v>
      </c>
      <c r="F35" s="64" t="inlineStr">
        <is>
          <t>Dentiste</t>
        </is>
      </c>
    </row>
    <row r="36" ht="17" customHeight="1">
      <c r="B36" s="65" t="n">
        <v>46149</v>
      </c>
      <c r="C36" s="66" t="inlineStr">
        <is>
          <t>🛒 Alimentation</t>
        </is>
      </c>
      <c r="D36" s="67" t="inlineStr">
        <is>
          <t>Dépense</t>
        </is>
      </c>
      <c r="E36" s="68" t="n">
        <v>81.81</v>
      </c>
      <c r="F36" s="69" t="inlineStr">
        <is>
          <t>Courses Carrefour</t>
        </is>
      </c>
    </row>
    <row r="37" ht="17" customHeight="1">
      <c r="B37" s="60" t="n">
        <v>46151</v>
      </c>
      <c r="C37" s="61" t="inlineStr">
        <is>
          <t>🚗 Transport</t>
        </is>
      </c>
      <c r="D37" s="62" t="inlineStr">
        <is>
          <t>Dépense</t>
        </is>
      </c>
      <c r="E37" s="63" t="n">
        <v>76.92</v>
      </c>
      <c r="F37" s="64" t="inlineStr">
        <is>
          <t>SNCF Paris-Lyon</t>
        </is>
      </c>
    </row>
    <row r="38" ht="17" customHeight="1">
      <c r="B38" s="65" t="n">
        <v>46156</v>
      </c>
      <c r="C38" s="66" t="inlineStr">
        <is>
          <t>👗 Shopping</t>
        </is>
      </c>
      <c r="D38" s="67" t="inlineStr">
        <is>
          <t>Dépense</t>
        </is>
      </c>
      <c r="E38" s="68" t="n">
        <v>42.55</v>
      </c>
      <c r="F38" s="69" t="inlineStr">
        <is>
          <t>Amazon</t>
        </is>
      </c>
    </row>
    <row r="39" ht="17" customHeight="1">
      <c r="B39" s="60" t="n">
        <v>46162</v>
      </c>
      <c r="C39" s="61" t="inlineStr">
        <is>
          <t>🎮 Loisirs</t>
        </is>
      </c>
      <c r="D39" s="62" t="inlineStr">
        <is>
          <t>Dépense</t>
        </is>
      </c>
      <c r="E39" s="63" t="n">
        <v>45.95</v>
      </c>
      <c r="F39" s="64" t="inlineStr">
        <is>
          <t>Netflix</t>
        </is>
      </c>
    </row>
    <row r="40" ht="17" customHeight="1">
      <c r="B40" s="65" t="n">
        <v>46163</v>
      </c>
      <c r="C40" s="66" t="inlineStr">
        <is>
          <t>💊 Santé</t>
        </is>
      </c>
      <c r="D40" s="67" t="inlineStr">
        <is>
          <t>Dépense</t>
        </is>
      </c>
      <c r="E40" s="68" t="n">
        <v>34.97</v>
      </c>
      <c r="F40" s="69" t="inlineStr">
        <is>
          <t>Dentiste</t>
        </is>
      </c>
    </row>
    <row r="41" ht="17" customHeight="1">
      <c r="B41" s="60" t="n">
        <v>46163</v>
      </c>
      <c r="C41" s="61" t="inlineStr">
        <is>
          <t>💡 Divers</t>
        </is>
      </c>
      <c r="D41" s="62" t="inlineStr">
        <is>
          <t>Dépense</t>
        </is>
      </c>
      <c r="E41" s="63" t="n">
        <v>14.36</v>
      </c>
      <c r="F41" s="64" t="inlineStr">
        <is>
          <t>Cadeau anniversaire</t>
        </is>
      </c>
    </row>
    <row r="42" ht="17" customHeight="1">
      <c r="B42" s="65" t="n">
        <v>46164</v>
      </c>
      <c r="C42" s="66" t="inlineStr">
        <is>
          <t>💡 Divers</t>
        </is>
      </c>
      <c r="D42" s="67" t="inlineStr">
        <is>
          <t>Dépense</t>
        </is>
      </c>
      <c r="E42" s="68" t="n">
        <v>20.94</v>
      </c>
      <c r="F42" s="69" t="inlineStr">
        <is>
          <t>Cadeau anniversaire</t>
        </is>
      </c>
    </row>
    <row r="43" ht="17" customHeight="1">
      <c r="B43" s="60" t="n">
        <v>46168</v>
      </c>
      <c r="C43" s="61" t="inlineStr">
        <is>
          <t>🏠 Logement</t>
        </is>
      </c>
      <c r="D43" s="62" t="inlineStr">
        <is>
          <t>Dépense</t>
        </is>
      </c>
      <c r="E43" s="63" t="n">
        <v>86.19</v>
      </c>
      <c r="F43" s="64" t="inlineStr">
        <is>
          <t>Eau / EDF</t>
        </is>
      </c>
    </row>
    <row r="44" ht="17" customHeight="1">
      <c r="B44" s="75" t="n">
        <v>46170</v>
      </c>
      <c r="C44" s="76" t="inlineStr">
        <is>
          <t>Salaire</t>
        </is>
      </c>
      <c r="D44" s="77" t="inlineStr">
        <is>
          <t>Revenu</t>
        </is>
      </c>
      <c r="E44" s="78" t="n">
        <v>2800</v>
      </c>
      <c r="F44" s="79" t="inlineStr">
        <is>
          <t>Virement employeur</t>
        </is>
      </c>
    </row>
    <row r="45" ht="17" customHeight="1">
      <c r="B45" s="60" t="n">
        <v>46174</v>
      </c>
      <c r="C45" s="61" t="inlineStr">
        <is>
          <t>🏠 Logement</t>
        </is>
      </c>
      <c r="D45" s="62" t="inlineStr">
        <is>
          <t>Dépense</t>
        </is>
      </c>
      <c r="E45" s="63" t="n">
        <v>900</v>
      </c>
      <c r="F45" s="64" t="inlineStr">
        <is>
          <t>Loyer</t>
        </is>
      </c>
    </row>
    <row r="46" ht="17" customHeight="1">
      <c r="B46" s="65" t="n">
        <v>46178</v>
      </c>
      <c r="C46" s="66" t="inlineStr">
        <is>
          <t>📱 Abonnements</t>
        </is>
      </c>
      <c r="D46" s="67" t="inlineStr">
        <is>
          <t>Dépense</t>
        </is>
      </c>
      <c r="E46" s="68" t="n">
        <v>10</v>
      </c>
      <c r="F46" s="69" t="inlineStr">
        <is>
          <t>Spotify</t>
        </is>
      </c>
    </row>
    <row r="47" ht="17" customHeight="1">
      <c r="B47" s="60" t="n">
        <v>46178</v>
      </c>
      <c r="C47" s="61" t="inlineStr">
        <is>
          <t>📱 Abonnements</t>
        </is>
      </c>
      <c r="D47" s="62" t="inlineStr">
        <is>
          <t>Dépense</t>
        </is>
      </c>
      <c r="E47" s="63" t="n">
        <v>14</v>
      </c>
      <c r="F47" s="64" t="inlineStr">
        <is>
          <t>Netflix</t>
        </is>
      </c>
    </row>
    <row r="48" ht="17" customHeight="1">
      <c r="B48" s="65" t="n">
        <v>46178</v>
      </c>
      <c r="C48" s="66" t="inlineStr">
        <is>
          <t>📱 Abonnements</t>
        </is>
      </c>
      <c r="D48" s="67" t="inlineStr">
        <is>
          <t>Dépense</t>
        </is>
      </c>
      <c r="E48" s="68" t="n">
        <v>3</v>
      </c>
      <c r="F48" s="69" t="inlineStr">
        <is>
          <t>iCloud 200 Go</t>
        </is>
      </c>
    </row>
    <row r="49" ht="17" customHeight="1">
      <c r="B49" s="60" t="n">
        <v>46178</v>
      </c>
      <c r="C49" s="61" t="inlineStr">
        <is>
          <t>📱 Abonnements</t>
        </is>
      </c>
      <c r="D49" s="62" t="inlineStr">
        <is>
          <t>Dépense</t>
        </is>
      </c>
      <c r="E49" s="63" t="n">
        <v>35</v>
      </c>
      <c r="F49" s="64" t="inlineStr">
        <is>
          <t>Canal+</t>
        </is>
      </c>
    </row>
    <row r="50" ht="17" customHeight="1">
      <c r="B50" s="65" t="n">
        <v>46178</v>
      </c>
      <c r="C50" s="66" t="inlineStr">
        <is>
          <t>🚗 Transport</t>
        </is>
      </c>
      <c r="D50" s="67" t="inlineStr">
        <is>
          <t>Dépense</t>
        </is>
      </c>
      <c r="E50" s="68" t="n">
        <v>38.4</v>
      </c>
      <c r="F50" s="69" t="inlineStr">
        <is>
          <t>Autoroute</t>
        </is>
      </c>
    </row>
    <row r="51" ht="17" customHeight="1">
      <c r="B51" s="60" t="n">
        <v>46180</v>
      </c>
      <c r="C51" s="61" t="inlineStr">
        <is>
          <t>📱 Abonnements</t>
        </is>
      </c>
      <c r="D51" s="62" t="inlineStr">
        <is>
          <t>Dépense</t>
        </is>
      </c>
      <c r="E51" s="63" t="n">
        <v>18.49</v>
      </c>
      <c r="F51" s="64" t="inlineStr">
        <is>
          <t>Canal+</t>
        </is>
      </c>
    </row>
    <row r="52" ht="17" customHeight="1">
      <c r="B52" s="65" t="n">
        <v>46181</v>
      </c>
      <c r="C52" s="66" t="inlineStr">
        <is>
          <t>🏠 Logement</t>
        </is>
      </c>
      <c r="D52" s="67" t="inlineStr">
        <is>
          <t>Dépense</t>
        </is>
      </c>
      <c r="E52" s="68" t="n">
        <v>88.19</v>
      </c>
      <c r="F52" s="69" t="inlineStr">
        <is>
          <t>Eau / EDF</t>
        </is>
      </c>
    </row>
    <row r="53" ht="17" customHeight="1">
      <c r="B53" s="60" t="n">
        <v>46181</v>
      </c>
      <c r="C53" s="61" t="inlineStr">
        <is>
          <t>🏠 Logement</t>
        </is>
      </c>
      <c r="D53" s="62" t="inlineStr">
        <is>
          <t>Dépense</t>
        </is>
      </c>
      <c r="E53" s="63" t="n">
        <v>52.93</v>
      </c>
      <c r="F53" s="64" t="inlineStr">
        <is>
          <t>Assurance habitation</t>
        </is>
      </c>
    </row>
    <row r="54" ht="17" customHeight="1">
      <c r="B54" s="65" t="n">
        <v>46185</v>
      </c>
      <c r="C54" s="66" t="inlineStr">
        <is>
          <t>🎮 Loisirs</t>
        </is>
      </c>
      <c r="D54" s="67" t="inlineStr">
        <is>
          <t>Dépense</t>
        </is>
      </c>
      <c r="E54" s="68" t="n">
        <v>11.01</v>
      </c>
      <c r="F54" s="69" t="inlineStr">
        <is>
          <t>Ciné MK2</t>
        </is>
      </c>
    </row>
    <row r="55" ht="17" customHeight="1">
      <c r="B55" s="60" t="n">
        <v>46186</v>
      </c>
      <c r="C55" s="61" t="inlineStr">
        <is>
          <t>👗 Shopping</t>
        </is>
      </c>
      <c r="D55" s="62" t="inlineStr">
        <is>
          <t>Dépense</t>
        </is>
      </c>
      <c r="E55" s="63" t="n">
        <v>29.16</v>
      </c>
      <c r="F55" s="64" t="inlineStr">
        <is>
          <t>Amazon</t>
        </is>
      </c>
    </row>
    <row r="56" ht="17" customHeight="1">
      <c r="B56" s="75" t="n">
        <v>46189</v>
      </c>
      <c r="C56" s="76" t="inlineStr">
        <is>
          <t>Salaire</t>
        </is>
      </c>
      <c r="D56" s="77" t="inlineStr">
        <is>
          <t>Revenu</t>
        </is>
      </c>
      <c r="E56" s="78" t="n">
        <v>2800</v>
      </c>
      <c r="F56" s="79" t="inlineStr">
        <is>
          <t>Virement employeur</t>
        </is>
      </c>
    </row>
    <row r="57" ht="17" customHeight="1">
      <c r="B57" s="60" t="n">
        <v>46189</v>
      </c>
      <c r="C57" s="61" t="inlineStr">
        <is>
          <t>🛒 Alimentation</t>
        </is>
      </c>
      <c r="D57" s="62" t="inlineStr">
        <is>
          <t>Dépense</t>
        </is>
      </c>
      <c r="E57" s="63" t="n">
        <v>90.95</v>
      </c>
      <c r="F57" s="64" t="inlineStr">
        <is>
          <t>Amazon Fresh</t>
        </is>
      </c>
    </row>
    <row r="58" ht="17" customHeight="1">
      <c r="B58" s="65" t="n">
        <v>46189</v>
      </c>
      <c r="C58" s="66" t="inlineStr">
        <is>
          <t>💊 Santé</t>
        </is>
      </c>
      <c r="D58" s="67" t="inlineStr">
        <is>
          <t>Dépense</t>
        </is>
      </c>
      <c r="E58" s="68" t="n">
        <v>39.53</v>
      </c>
      <c r="F58" s="69" t="inlineStr">
        <is>
          <t>Dentiste</t>
        </is>
      </c>
    </row>
    <row r="59" ht="17" customHeight="1">
      <c r="B59" s="60" t="n">
        <v>46189</v>
      </c>
      <c r="C59" s="61" t="inlineStr">
        <is>
          <t>🛒 Alimentation</t>
        </is>
      </c>
      <c r="D59" s="62" t="inlineStr">
        <is>
          <t>Dépense</t>
        </is>
      </c>
      <c r="E59" s="63" t="n">
        <v>39.13</v>
      </c>
      <c r="F59" s="64" t="inlineStr">
        <is>
          <t>Boulangerie</t>
        </is>
      </c>
    </row>
    <row r="60" ht="17" customHeight="1">
      <c r="B60" s="65" t="n">
        <v>46189</v>
      </c>
      <c r="C60" s="66" t="inlineStr">
        <is>
          <t>🎮 Loisirs</t>
        </is>
      </c>
      <c r="D60" s="67" t="inlineStr">
        <is>
          <t>Dépense</t>
        </is>
      </c>
      <c r="E60" s="68" t="n">
        <v>39.67</v>
      </c>
      <c r="F60" s="69" t="inlineStr">
        <is>
          <t>Netflix</t>
        </is>
      </c>
    </row>
    <row r="61" ht="17" customHeight="1">
      <c r="B61" s="60" t="n">
        <v>46189</v>
      </c>
      <c r="C61" s="61" t="inlineStr">
        <is>
          <t>💊 Santé</t>
        </is>
      </c>
      <c r="D61" s="62" t="inlineStr">
        <is>
          <t>Dépense</t>
        </is>
      </c>
      <c r="E61" s="63" t="n">
        <v>22.79</v>
      </c>
      <c r="F61" s="64" t="inlineStr">
        <is>
          <t>Médecin généraliste</t>
        </is>
      </c>
    </row>
    <row r="62" ht="17" customHeight="1">
      <c r="B62" s="65" t="n">
        <v>46189</v>
      </c>
      <c r="C62" s="66" t="inlineStr">
        <is>
          <t>🎮 Loisirs</t>
        </is>
      </c>
      <c r="D62" s="67" t="inlineStr">
        <is>
          <t>Dépense</t>
        </is>
      </c>
      <c r="E62" s="68" t="n">
        <v>30.28</v>
      </c>
      <c r="F62" s="69" t="inlineStr">
        <is>
          <t>Jeux vidéo Steam</t>
        </is>
      </c>
    </row>
    <row r="63" ht="17" customHeight="1">
      <c r="B63" s="60" t="n">
        <v>46189</v>
      </c>
      <c r="C63" s="61" t="inlineStr">
        <is>
          <t>💡 Divers</t>
        </is>
      </c>
      <c r="D63" s="62" t="inlineStr">
        <is>
          <t>Dépense</t>
        </is>
      </c>
      <c r="E63" s="63" t="n">
        <v>26.14</v>
      </c>
      <c r="F63" s="64" t="inlineStr">
        <is>
          <t>Cadeau anniversaire</t>
        </is>
      </c>
    </row>
    <row r="64" ht="17" customHeight="1">
      <c r="B64" s="65" t="n">
        <v>46189</v>
      </c>
      <c r="C64" s="66" t="inlineStr">
        <is>
          <t>🏠 Logement</t>
        </is>
      </c>
      <c r="D64" s="67" t="inlineStr">
        <is>
          <t>Dépense</t>
        </is>
      </c>
      <c r="E64" s="68" t="n">
        <v>62.72</v>
      </c>
      <c r="F64" s="69" t="inlineStr">
        <is>
          <t>Assurance habitation</t>
        </is>
      </c>
    </row>
    <row r="65" ht="17" customHeight="1">
      <c r="B65" s="60" t="n">
        <v>46189</v>
      </c>
      <c r="C65" s="61" t="inlineStr">
        <is>
          <t>🚗 Transport</t>
        </is>
      </c>
      <c r="D65" s="62" t="inlineStr">
        <is>
          <t>Dépense</t>
        </is>
      </c>
      <c r="E65" s="63" t="n">
        <v>55.5</v>
      </c>
      <c r="F65" s="64" t="inlineStr">
        <is>
          <t>SNCF Paris-Lyon</t>
        </is>
      </c>
    </row>
    <row r="66" ht="17" customHeight="1">
      <c r="B66" s="65" t="n">
        <v>46189</v>
      </c>
      <c r="C66" s="66" t="inlineStr">
        <is>
          <t>💊 Santé</t>
        </is>
      </c>
      <c r="D66" s="67" t="inlineStr">
        <is>
          <t>Dépense</t>
        </is>
      </c>
      <c r="E66" s="68" t="n">
        <v>8.23</v>
      </c>
      <c r="F66" s="69" t="inlineStr">
        <is>
          <t>Médecin généraliste</t>
        </is>
      </c>
    </row>
    <row r="67" ht="17" customHeight="1">
      <c r="B67" s="60" t="n">
        <v>46189</v>
      </c>
      <c r="C67" s="61" t="inlineStr">
        <is>
          <t>📱 Abonnements</t>
        </is>
      </c>
      <c r="D67" s="62" t="inlineStr">
        <is>
          <t>Dépense</t>
        </is>
      </c>
      <c r="E67" s="63" t="n">
        <v>16.23</v>
      </c>
      <c r="F67" s="64" t="inlineStr">
        <is>
          <t>Spotify</t>
        </is>
      </c>
    </row>
  </sheetData>
  <mergeCells count="2">
    <mergeCell ref="B3:G3"/>
    <mergeCell ref="B2:G2"/>
  </mergeCells>
  <conditionalFormatting sqref="B5:F500">
    <cfRule type="expression" priority="1" dxfId="1">
      <formula>$D5="Revenu"</formula>
    </cfRule>
  </conditionalFormatting>
  <conditionalFormatting sqref="E5:E500">
    <cfRule type="expression" priority="2" dxfId="0">
      <formula>E5&gt;200</formula>
    </cfRule>
  </conditionalFormatting>
  <dataValidations count="2">
    <dataValidation sqref="C5:C500" showDropDown="0" showInputMessage="0" showErrorMessage="0" allowBlank="0" type="list">
      <formula1>Paramètres!$B$4:$B$11</formula1>
    </dataValidation>
    <dataValidation sqref="D5:D500" showDropDown="0" showInputMessage="0" showErrorMessage="0" allowBlank="0" type="list">
      <formula1>"Dépense,Revenu"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2E1E"/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  <col width="16" customWidth="1" min="6" max="6"/>
    <col width="3" customWidth="1" min="7" max="7"/>
  </cols>
  <sheetData>
    <row r="1" ht="8" customHeight="1"/>
    <row r="2" ht="32" customHeight="1">
      <c r="B2" s="58" t="inlineStr">
        <is>
          <t>⚙️  PARAMÈTRES — Catégories &amp; Budgets mensuels</t>
        </is>
      </c>
    </row>
    <row r="3" ht="18" customHeight="1">
      <c r="B3" s="80" t="inlineStr">
        <is>
          <t>Catégorie dépense</t>
        </is>
      </c>
      <c r="C3" s="80" t="inlineStr">
        <is>
          <t>Budget mensuel</t>
        </is>
      </c>
      <c r="E3" s="81" t="inlineStr">
        <is>
          <t>📌  Comment personnaliser</t>
        </is>
      </c>
    </row>
    <row r="4" ht="16" customHeight="1">
      <c r="B4" s="19" t="inlineStr">
        <is>
          <t>🏠 Logement</t>
        </is>
      </c>
      <c r="C4" s="82" t="n">
        <v>900</v>
      </c>
      <c r="E4" s="83" t="inlineStr">
        <is>
          <t xml:space="preserve">  Modifiez les budgets colonne C.</t>
        </is>
      </c>
    </row>
    <row r="5" ht="16" customHeight="1">
      <c r="B5" s="25" t="inlineStr">
        <is>
          <t>🛒 Alimentation</t>
        </is>
      </c>
      <c r="C5" s="20" t="n">
        <v>450</v>
      </c>
      <c r="E5" s="84" t="inlineStr">
        <is>
          <t xml:space="preserve">  Ajoutez des catégories sous la ligne 11.</t>
        </is>
      </c>
    </row>
    <row r="6" ht="16" customHeight="1">
      <c r="B6" s="19" t="inlineStr">
        <is>
          <t>🚗 Transport</t>
        </is>
      </c>
      <c r="C6" s="82" t="n">
        <v>200</v>
      </c>
      <c r="E6" s="83" t="inlineStr">
        <is>
          <t xml:space="preserve">  Mettez à jour le menu déroulant dans</t>
        </is>
      </c>
    </row>
    <row r="7" ht="16" customHeight="1">
      <c r="B7" s="25" t="inlineStr">
        <is>
          <t>💊 Santé</t>
        </is>
      </c>
      <c r="C7" s="20" t="n">
        <v>100</v>
      </c>
      <c r="E7" s="84" t="inlineStr">
        <is>
          <t xml:space="preserve">  l'onglet Transactions si vous changez</t>
        </is>
      </c>
    </row>
    <row r="8" ht="16" customHeight="1">
      <c r="B8" s="19" t="inlineStr">
        <is>
          <t>🎮 Loisirs</t>
        </is>
      </c>
      <c r="C8" s="82" t="n">
        <v>150</v>
      </c>
      <c r="E8" s="83" t="inlineStr">
        <is>
          <t xml:space="preserve">  les catégories (plage Paramètres!B2:B9).</t>
        </is>
      </c>
    </row>
    <row r="9" ht="18" customHeight="1">
      <c r="B9" s="25" t="inlineStr">
        <is>
          <t>📱 Abonnements</t>
        </is>
      </c>
      <c r="C9" s="20" t="n">
        <v>60</v>
      </c>
    </row>
    <row r="10" ht="18" customHeight="1">
      <c r="B10" s="19" t="inlineStr">
        <is>
          <t>👗 Shopping</t>
        </is>
      </c>
      <c r="C10" s="82" t="n">
        <v>120</v>
      </c>
    </row>
    <row r="11" ht="18" customHeight="1">
      <c r="B11" s="25" t="inlineStr">
        <is>
          <t>💡 Divers</t>
        </is>
      </c>
      <c r="C11" s="20" t="n">
        <v>80</v>
      </c>
    </row>
    <row r="13" ht="6" customHeight="1"/>
    <row r="14" ht="18" customHeight="1">
      <c r="B14" s="80" t="inlineStr">
        <is>
          <t>Types de transactions</t>
        </is>
      </c>
    </row>
    <row r="15" ht="18" customHeight="1">
      <c r="B15" s="19" t="inlineStr">
        <is>
          <t>Dépense</t>
        </is>
      </c>
    </row>
    <row r="16" ht="18" customHeight="1">
      <c r="B16" s="66" t="inlineStr">
        <is>
          <t>Revenu</t>
        </is>
      </c>
    </row>
  </sheetData>
  <mergeCells count="7">
    <mergeCell ref="E4:F4"/>
    <mergeCell ref="E6:F6"/>
    <mergeCell ref="B2:F2"/>
    <mergeCell ref="E7:F7"/>
    <mergeCell ref="E5:F5"/>
    <mergeCell ref="E8:F8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2026-06-17T14:29:44Z</dcterms:created>
  <dcterms:modified xsi:type="dcterms:W3CDTF">2026-06-17T14:29:44Z</dcterms:modified>
</cp:coreProperties>
</file>